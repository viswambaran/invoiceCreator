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ZARINA\DOLS MANUAL INVS\DURHAM INVOICES\INVS 29.04.2026\"/>
    </mc:Choice>
  </mc:AlternateContent>
  <xr:revisionPtr revIDLastSave="0" documentId="13_ncr:1_{FD7B2E2B-438A-43F6-8F7E-7CE568AD0830}" xr6:coauthVersionLast="47" xr6:coauthVersionMax="47" xr10:uidLastSave="{00000000-0000-0000-0000-000000000000}"/>
  <bookViews>
    <workbookView xWindow="-120" yWindow="-120" windowWidth="23280" windowHeight="12600" xr2:uid="{D66501A2-CA21-43BC-9980-F9774E95491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2" l="1"/>
  <c r="J3" i="2"/>
  <c r="K3" i="2" s="1"/>
  <c r="J4" i="2"/>
  <c r="K4" i="2" s="1"/>
  <c r="J5" i="2"/>
  <c r="K5" i="2" s="1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6" i="2"/>
  <c r="K36" i="2" s="1"/>
  <c r="J37" i="2"/>
  <c r="K37" i="2" s="1"/>
  <c r="J38" i="2"/>
  <c r="K38" i="2" s="1"/>
  <c r="J39" i="2"/>
  <c r="K39" i="2" s="1"/>
  <c r="J40" i="2"/>
  <c r="K40" i="2" s="1"/>
  <c r="J41" i="2"/>
  <c r="K41" i="2" s="1"/>
  <c r="J42" i="2"/>
  <c r="K42" i="2" s="1"/>
  <c r="J43" i="2"/>
  <c r="K43" i="2" s="1"/>
  <c r="J44" i="2"/>
  <c r="K44" i="2" s="1"/>
  <c r="J45" i="2"/>
  <c r="K45" i="2" s="1"/>
  <c r="J46" i="2"/>
  <c r="K46" i="2" s="1"/>
  <c r="J47" i="2"/>
  <c r="K47" i="2" s="1"/>
  <c r="J48" i="2"/>
  <c r="K48" i="2" s="1"/>
  <c r="J49" i="2"/>
  <c r="K49" i="2" s="1"/>
  <c r="J50" i="2"/>
  <c r="K50" i="2" s="1"/>
  <c r="J51" i="2"/>
  <c r="J52" i="2"/>
  <c r="K52" i="2" s="1"/>
  <c r="J53" i="2"/>
  <c r="K53" i="2" s="1"/>
  <c r="J54" i="2"/>
  <c r="K54" i="2" s="1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K69" i="2" s="1"/>
  <c r="J70" i="2"/>
  <c r="K70" i="2" s="1"/>
  <c r="J71" i="2"/>
  <c r="K71" i="2" s="1"/>
  <c r="J72" i="2"/>
  <c r="K72" i="2" s="1"/>
  <c r="J73" i="2"/>
  <c r="K73" i="2" s="1"/>
  <c r="J74" i="2"/>
  <c r="K74" i="2" s="1"/>
  <c r="J75" i="2"/>
  <c r="K75" i="2" s="1"/>
  <c r="J76" i="2"/>
  <c r="K76" i="2" s="1"/>
  <c r="J77" i="2"/>
  <c r="K77" i="2" s="1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4" i="2"/>
  <c r="K84" i="2" s="1"/>
  <c r="J85" i="2"/>
  <c r="K85" i="2" s="1"/>
  <c r="J86" i="2"/>
  <c r="K86" i="2" s="1"/>
  <c r="J87" i="2"/>
  <c r="K87" i="2" s="1"/>
  <c r="J2" i="2"/>
  <c r="K2" i="2" s="1"/>
  <c r="J88" i="2" l="1"/>
  <c r="K51" i="2"/>
  <c r="K88" i="2" s="1"/>
</calcChain>
</file>

<file path=xl/sharedStrings.xml><?xml version="1.0" encoding="utf-8"?>
<sst xmlns="http://schemas.openxmlformats.org/spreadsheetml/2006/main" count="583" uniqueCount="283">
  <si>
    <t>SB</t>
  </si>
  <si>
    <t>Assessor</t>
  </si>
  <si>
    <t>Client Name</t>
  </si>
  <si>
    <t>REF</t>
  </si>
  <si>
    <t>Charge</t>
  </si>
  <si>
    <t>QA Professional</t>
  </si>
  <si>
    <t>QA Charge</t>
  </si>
  <si>
    <t>Durham Council</t>
  </si>
  <si>
    <t>Chris Mudima</t>
  </si>
  <si>
    <t>Alan Heslop</t>
  </si>
  <si>
    <t>Pfungwa Nzelu</t>
  </si>
  <si>
    <t>Darren Ramshaw</t>
  </si>
  <si>
    <t>Ann Ellen Wilkinson</t>
  </si>
  <si>
    <t>Ann Foster</t>
  </si>
  <si>
    <t>Beth Instone</t>
  </si>
  <si>
    <t>Arnold Robinson</t>
  </si>
  <si>
    <t>Gabrielle Stokes</t>
  </si>
  <si>
    <t>Beatric Marr</t>
  </si>
  <si>
    <t>Gemma Sidgwick</t>
  </si>
  <si>
    <t>Beatrice Catterall</t>
  </si>
  <si>
    <t>Betty Gilmore</t>
  </si>
  <si>
    <t>Nadia Tabossam</t>
  </si>
  <si>
    <t>Christine Hilder</t>
  </si>
  <si>
    <t>Christopher Jenkins</t>
  </si>
  <si>
    <t>Colin Turnbull</t>
  </si>
  <si>
    <t>Constance Ritchie</t>
  </si>
  <si>
    <t>Gabby Stokes</t>
  </si>
  <si>
    <t>David Hogg</t>
  </si>
  <si>
    <t>Dennis Heseltine</t>
  </si>
  <si>
    <t>Doreen Lumley</t>
  </si>
  <si>
    <t>Doreen Reilly</t>
  </si>
  <si>
    <t>Dorren Cockburn</t>
  </si>
  <si>
    <t>Dulcie Thirling</t>
  </si>
  <si>
    <t>Edith Jackson</t>
  </si>
  <si>
    <t>Ifedayo Oni</t>
  </si>
  <si>
    <t>Edward Harold Raine</t>
  </si>
  <si>
    <t>Eileen Hughes</t>
  </si>
  <si>
    <t>Elizabeth Hornsey</t>
  </si>
  <si>
    <t>Elizabeth Shaw</t>
  </si>
  <si>
    <t>Enid Barker</t>
  </si>
  <si>
    <t>Eric Fletcher</t>
  </si>
  <si>
    <t>Ethel Sanderson</t>
  </si>
  <si>
    <t>Florence Maitland</t>
  </si>
  <si>
    <t xml:space="preserve">Lucy Davidson </t>
  </si>
  <si>
    <t>Francis Williams Carlyon</t>
  </si>
  <si>
    <t>Cynthia Nguruve</t>
  </si>
  <si>
    <t>Gwendoline Speeding</t>
  </si>
  <si>
    <t>Hilda Field</t>
  </si>
  <si>
    <t>Irene Johnson</t>
  </si>
  <si>
    <t>Janet Brooks</t>
  </si>
  <si>
    <t>Janet Hoban</t>
  </si>
  <si>
    <t>Janet Keith</t>
  </si>
  <si>
    <t>Janis Hill</t>
  </si>
  <si>
    <t>Jean Appleby</t>
  </si>
  <si>
    <t>Jean Manners</t>
  </si>
  <si>
    <t>Lisa Folwer</t>
  </si>
  <si>
    <t>Jean Riley</t>
  </si>
  <si>
    <t>Jean Turnbull</t>
  </si>
  <si>
    <t>Jennifer Wiseman</t>
  </si>
  <si>
    <t>Jenny Walker</t>
  </si>
  <si>
    <t>Joan Ripley</t>
  </si>
  <si>
    <t>John Patterson</t>
  </si>
  <si>
    <t>Tendayi Musundire</t>
  </si>
  <si>
    <t>Joyce Henry</t>
  </si>
  <si>
    <t>Judith Anderson</t>
  </si>
  <si>
    <t>Julian Tyszka</t>
  </si>
  <si>
    <t>Dr Govindaraj</t>
  </si>
  <si>
    <t>June Christlow - S12</t>
  </si>
  <si>
    <t>June Hoggart</t>
  </si>
  <si>
    <t>June Tiplady</t>
  </si>
  <si>
    <t>Kathleen Bethell</t>
  </si>
  <si>
    <t>Kathleen Burnett</t>
  </si>
  <si>
    <t>Kathleen Collins</t>
  </si>
  <si>
    <t>Lily Carr</t>
  </si>
  <si>
    <t>Lily Webster</t>
  </si>
  <si>
    <t>Lydia Raine</t>
  </si>
  <si>
    <t>Margaret Dean</t>
  </si>
  <si>
    <t>Marin Gedling</t>
  </si>
  <si>
    <t>Marlene Bell</t>
  </si>
  <si>
    <t>Marquerite Wendel</t>
  </si>
  <si>
    <t>Molly Faux</t>
  </si>
  <si>
    <t>Norma Wise</t>
  </si>
  <si>
    <t>Norman Hamilton</t>
  </si>
  <si>
    <t>Olive Linge</t>
  </si>
  <si>
    <t>Patricia Clarke</t>
  </si>
  <si>
    <t>Pauline Salkeld</t>
  </si>
  <si>
    <t>Philip Dorling</t>
  </si>
  <si>
    <t>Raymond Reed</t>
  </si>
  <si>
    <t>Richard Cambridge</t>
  </si>
  <si>
    <t>Richard Proud</t>
  </si>
  <si>
    <t xml:space="preserve">Robert Bell </t>
  </si>
  <si>
    <t>Robert Wardman</t>
  </si>
  <si>
    <t>Sandra Burdess</t>
  </si>
  <si>
    <t>Sheila Foreman</t>
  </si>
  <si>
    <t>Sheila Lerigo</t>
  </si>
  <si>
    <t>Sheila Skaife</t>
  </si>
  <si>
    <t>Susan wallace</t>
  </si>
  <si>
    <t>Thomas Dobbin</t>
  </si>
  <si>
    <t>Thomas Watkins</t>
  </si>
  <si>
    <t>Trevor Jones</t>
  </si>
  <si>
    <t>Trudi Connolly</t>
  </si>
  <si>
    <t>Valerie Bourne</t>
  </si>
  <si>
    <t>Valerie Dinning</t>
  </si>
  <si>
    <t>Valerie McCartney</t>
  </si>
  <si>
    <t>Vivien Brockbank</t>
  </si>
  <si>
    <t>Wendy Goode</t>
  </si>
  <si>
    <t>William Featherstone</t>
  </si>
  <si>
    <t>William Walker</t>
  </si>
  <si>
    <t>Arnold Robinson 440070</t>
  </si>
  <si>
    <t>Betty Gilmore 938618</t>
  </si>
  <si>
    <t>Eileen Hughes 126305</t>
  </si>
  <si>
    <t>Elizabeth Hornsey 912944</t>
  </si>
  <si>
    <t>June Hoggart 943015</t>
  </si>
  <si>
    <t>Lydia Raine 916707</t>
  </si>
  <si>
    <t>Marquerite Wendel 791314</t>
  </si>
  <si>
    <t>Alan Heslop 812967</t>
  </si>
  <si>
    <t>Colin Turnbull 888840</t>
  </si>
  <si>
    <t>Dennis Heseltine 97718</t>
  </si>
  <si>
    <t>Dulcie Thirling 714504</t>
  </si>
  <si>
    <t>Edith Jackson 395429</t>
  </si>
  <si>
    <t>Elizabeth Shaw 851634</t>
  </si>
  <si>
    <t>Eric Fletcher 895292</t>
  </si>
  <si>
    <t>Florence Maitland 849911</t>
  </si>
  <si>
    <t>Janet Brooks 895301</t>
  </si>
  <si>
    <t>Janet Hoban 215624</t>
  </si>
  <si>
    <t>Jean Appleby 742726</t>
  </si>
  <si>
    <t>Julian Tyszka 926037</t>
  </si>
  <si>
    <t>Marlene Bell 526917</t>
  </si>
  <si>
    <t>Norman Hamilton 869315</t>
  </si>
  <si>
    <t>Richard Cambridge 877966</t>
  </si>
  <si>
    <t>Gwendoline Speeding 818935</t>
  </si>
  <si>
    <t>Marin Gedling 902258</t>
  </si>
  <si>
    <t>Thomas Watkins 499994</t>
  </si>
  <si>
    <t>Ann Ellen Wilkinson 907185</t>
  </si>
  <si>
    <t>Ann Foster 792010</t>
  </si>
  <si>
    <t>Doreen Lumley 927729</t>
  </si>
  <si>
    <t>Enid Barker 262090</t>
  </si>
  <si>
    <t>Ethel Sanderson 14652</t>
  </si>
  <si>
    <t>Janet Keith 165412</t>
  </si>
  <si>
    <t>Janis Hill 148146</t>
  </si>
  <si>
    <t>Jean Manners 882182</t>
  </si>
  <si>
    <t>Jennifer Wiseman 108597</t>
  </si>
  <si>
    <t>Jenny Walker 616386</t>
  </si>
  <si>
    <t>Joan Ripley 911945</t>
  </si>
  <si>
    <t>John Patterson 199572</t>
  </si>
  <si>
    <t>Judith Anderson 411765</t>
  </si>
  <si>
    <t>Kathleen Burnett 163302</t>
  </si>
  <si>
    <t>Robert Bell 698134</t>
  </si>
  <si>
    <t>Robert Wardman 839883</t>
  </si>
  <si>
    <t>Sheila Foreman 916014</t>
  </si>
  <si>
    <t>Sheila Skaife 907963</t>
  </si>
  <si>
    <t>Susan wallace 99105</t>
  </si>
  <si>
    <t>Trudi Connolly 821080</t>
  </si>
  <si>
    <t>Valerie Dinning 276374</t>
  </si>
  <si>
    <t>Valerie McCartney 330498</t>
  </si>
  <si>
    <t>William Featherstone 344203</t>
  </si>
  <si>
    <t>William Walker 904268</t>
  </si>
  <si>
    <t>June Christlow - S12 344461</t>
  </si>
  <si>
    <t>David Hogg 940872</t>
  </si>
  <si>
    <t>Beatric Marr 874919</t>
  </si>
  <si>
    <t>Hilda Field 822848</t>
  </si>
  <si>
    <t>Beatrice Catterall 462551</t>
  </si>
  <si>
    <t>Dorren Cockburn 929975</t>
  </si>
  <si>
    <t>Kathleen Collins 899167</t>
  </si>
  <si>
    <t>Molly Faux 919817</t>
  </si>
  <si>
    <t>Sheila Lerigo 853612</t>
  </si>
  <si>
    <t>Valerie Bourne 888248</t>
  </si>
  <si>
    <t>Edward Harold Raine 906569</t>
  </si>
  <si>
    <t>Irene Johnson 921713</t>
  </si>
  <si>
    <t>Richard Proud 355114</t>
  </si>
  <si>
    <t>Sandra Burdess 900521</t>
  </si>
  <si>
    <t>Jean Riley 913778</t>
  </si>
  <si>
    <t>Jean Turnbull 904657</t>
  </si>
  <si>
    <t>Lily Carr 425708</t>
  </si>
  <si>
    <t>Margaret Dean 930591</t>
  </si>
  <si>
    <t>Patricia Clarke 865682</t>
  </si>
  <si>
    <t>Philip Dorling 156517</t>
  </si>
  <si>
    <t>Raymond Reed 107419</t>
  </si>
  <si>
    <t>Francis Williams Carlyon 413821</t>
  </si>
  <si>
    <t>Wendy Goode 948141</t>
  </si>
  <si>
    <t>Christine Hilder 10834</t>
  </si>
  <si>
    <t>Christopher Jenkins 943776</t>
  </si>
  <si>
    <t>Constance Ritchie 925913</t>
  </si>
  <si>
    <t>Doreen Reilly 922955</t>
  </si>
  <si>
    <t>Joyce Henry 566942</t>
  </si>
  <si>
    <t>June Tiplady 693145</t>
  </si>
  <si>
    <t>Kathleen Bethell 837823</t>
  </si>
  <si>
    <t>Lily Webster 856247</t>
  </si>
  <si>
    <t>Norma Wise 521234</t>
  </si>
  <si>
    <t>Olive Linge 864027</t>
  </si>
  <si>
    <t>Pauline Salkeld 829845</t>
  </si>
  <si>
    <t>Thomas Dobbin 710717</t>
  </si>
  <si>
    <t>Trevor Jones 492657</t>
  </si>
  <si>
    <t>Vivien Brockbank 338106</t>
  </si>
  <si>
    <t xml:space="preserve">Invoice No </t>
  </si>
  <si>
    <t>86262-1</t>
  </si>
  <si>
    <t>86262-2</t>
  </si>
  <si>
    <t>86262-3</t>
  </si>
  <si>
    <t>86262-4</t>
  </si>
  <si>
    <t>86262-5</t>
  </si>
  <si>
    <t>86262-6</t>
  </si>
  <si>
    <t>86262-7</t>
  </si>
  <si>
    <t>86260-1</t>
  </si>
  <si>
    <t>86260-2</t>
  </si>
  <si>
    <t>86260-3</t>
  </si>
  <si>
    <t>86260-4</t>
  </si>
  <si>
    <t>86260-5</t>
  </si>
  <si>
    <t>86260-6</t>
  </si>
  <si>
    <t>86260-7</t>
  </si>
  <si>
    <t>86260-8</t>
  </si>
  <si>
    <t>86260-9</t>
  </si>
  <si>
    <t>86260-10</t>
  </si>
  <si>
    <t>86260-11</t>
  </si>
  <si>
    <t>86260-12</t>
  </si>
  <si>
    <t>86260-13</t>
  </si>
  <si>
    <t>86260-14</t>
  </si>
  <si>
    <t>86260-15</t>
  </si>
  <si>
    <t>86268-1</t>
  </si>
  <si>
    <t>86268-2</t>
  </si>
  <si>
    <t>86268-3</t>
  </si>
  <si>
    <t>86261-1</t>
  </si>
  <si>
    <t>86261-2</t>
  </si>
  <si>
    <t>86261-3</t>
  </si>
  <si>
    <t>86261-4</t>
  </si>
  <si>
    <t>86261-5</t>
  </si>
  <si>
    <t>86261-6</t>
  </si>
  <si>
    <t>86261-7</t>
  </si>
  <si>
    <t>86261-8</t>
  </si>
  <si>
    <t>86261-9</t>
  </si>
  <si>
    <t>86261-10</t>
  </si>
  <si>
    <t>86261-11</t>
  </si>
  <si>
    <t>86261-12</t>
  </si>
  <si>
    <t>86261-13</t>
  </si>
  <si>
    <t>86261-14</t>
  </si>
  <si>
    <t>86261-15</t>
  </si>
  <si>
    <t>86261-16</t>
  </si>
  <si>
    <t>86261-17</t>
  </si>
  <si>
    <t>86261-18</t>
  </si>
  <si>
    <t>86261-19</t>
  </si>
  <si>
    <t>86261-20</t>
  </si>
  <si>
    <t>86261-21</t>
  </si>
  <si>
    <t>86261-22</t>
  </si>
  <si>
    <t>86261-23</t>
  </si>
  <si>
    <t>86261-24</t>
  </si>
  <si>
    <t>86265-1</t>
  </si>
  <si>
    <t>86265-2</t>
  </si>
  <si>
    <t>86265-3</t>
  </si>
  <si>
    <t>86263-1</t>
  </si>
  <si>
    <t>86263-2</t>
  </si>
  <si>
    <t>86263-3</t>
  </si>
  <si>
    <t>86263-4</t>
  </si>
  <si>
    <t>86263-5</t>
  </si>
  <si>
    <t>86263-6</t>
  </si>
  <si>
    <t>86266-1</t>
  </si>
  <si>
    <t>86266-2</t>
  </si>
  <si>
    <t>86266-3</t>
  </si>
  <si>
    <t>86266-4</t>
  </si>
  <si>
    <t>86269-1</t>
  </si>
  <si>
    <t>86269-2</t>
  </si>
  <si>
    <t>86269-3</t>
  </si>
  <si>
    <t>86269-4</t>
  </si>
  <si>
    <t>86269-5</t>
  </si>
  <si>
    <t>86269-6</t>
  </si>
  <si>
    <t>86269-7</t>
  </si>
  <si>
    <t>86267-1</t>
  </si>
  <si>
    <t>86267-2</t>
  </si>
  <si>
    <t>86264-1</t>
  </si>
  <si>
    <t>86264-2</t>
  </si>
  <si>
    <t>86264-3</t>
  </si>
  <si>
    <t>86264-4</t>
  </si>
  <si>
    <t>86270-1</t>
  </si>
  <si>
    <t>86270-2</t>
  </si>
  <si>
    <t>86270-3</t>
  </si>
  <si>
    <t>86270-4</t>
  </si>
  <si>
    <t>86270-5</t>
  </si>
  <si>
    <t>86270-6</t>
  </si>
  <si>
    <t>86270-7</t>
  </si>
  <si>
    <t>86270-8</t>
  </si>
  <si>
    <t>86270-9</t>
  </si>
  <si>
    <t>86270-10</t>
  </si>
  <si>
    <t>Paid</t>
  </si>
  <si>
    <t xml:space="preserve">Invoice Status </t>
  </si>
  <si>
    <t xml:space="preserve">£50 Credit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</si>
</sst>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0" fontId="3" fillId="0" borderId="0" xfId="0" applyFont="1"/>
    <xf numFmtId="0" fontId="1" fillId="2" borderId="0" xfId="0" applyFont="1" applyFill="1"/>
    <xf numFmtId="2" fontId="1" fillId="2" borderId="0" xfId="0" applyNumberFormat="1" applyFont="1" applyFill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0" fontId="1" fillId="3" borderId="0" xfId="0" applyFont="1" applyFill="1"/>
    <xf numFmtId="2" fontId="1" fillId="3" borderId="0" xfId="0" applyNumberFormat="1" applyFont="1" applyFill="1"/>
    <xf numFmtId="0" fontId="1" fillId="4" borderId="0" xfId="0" applyFont="1" applyFill="1"/>
    <xf numFmtId="2" fontId="1" fillId="4" borderId="0" xfId="0" applyNumberFormat="1" applyFont="1" applyFill="1"/>
    <xf numFmtId="0" fontId="0" fillId="4" borderId="0" xfId="0" applyFill="1"/>
    <xf numFmtId="2" fontId="0" fillId="4" borderId="0" xfId="0" applyNumberFormat="1" applyFill="1"/>
    <xf numFmtId="0" fontId="0" fillId="5" borderId="0" xfId="0" applyFill="1"/>
    <xf numFmtId="0" fontId="0" fillId="5" borderId="0" xfId="0" applyFill="1" applyAlignment="1">
      <alignment horizontal="left"/>
    </xf>
    <xf numFmtId="2" fontId="0" fillId="5" borderId="0" xfId="0" applyNumberFormat="1" applyFill="1"/>
    <xf numFmtId="0" fontId="1" fillId="6" borderId="0" xfId="0" applyFont="1" applyFill="1"/>
    <xf numFmtId="2" fontId="1" fillId="6" borderId="0" xfId="0" applyNumberFormat="1" applyFont="1" applyFill="1"/>
    <xf numFmtId="0" fontId="0" fillId="6" borderId="0" xfId="0" applyFill="1"/>
    <xf numFmtId="2" fontId="0" fillId="6" borderId="0" xfId="0" applyNumberFormat="1" applyFill="1"/>
    <xf numFmtId="0" fontId="1" fillId="7" borderId="0" xfId="0" applyFont="1" applyFill="1"/>
    <xf numFmtId="2" fontId="1" fillId="7" borderId="0" xfId="0" applyNumberFormat="1" applyFont="1" applyFill="1"/>
    <xf numFmtId="0" fontId="0" fillId="7" borderId="0" xfId="0" applyFill="1"/>
    <xf numFmtId="2" fontId="0" fillId="7" borderId="0" xfId="0" applyNumberFormat="1" applyFill="1"/>
    <xf numFmtId="0" fontId="0" fillId="8" borderId="0" xfId="0" applyFill="1"/>
    <xf numFmtId="2" fontId="0" fillId="8" borderId="0" xfId="0" applyNumberFormat="1" applyFill="1"/>
    <xf numFmtId="0" fontId="1" fillId="8" borderId="0" xfId="0" applyFont="1" applyFill="1"/>
    <xf numFmtId="2" fontId="1" fillId="8" borderId="0" xfId="0" applyNumberFormat="1" applyFont="1" applyFill="1"/>
    <xf numFmtId="0" fontId="1" fillId="9" borderId="0" xfId="0" applyFont="1" applyFill="1"/>
    <xf numFmtId="2" fontId="1" fillId="9" borderId="0" xfId="0" applyNumberFormat="1" applyFont="1" applyFill="1"/>
    <xf numFmtId="0" fontId="0" fillId="9" borderId="0" xfId="0" applyFill="1"/>
    <xf numFmtId="2" fontId="0" fillId="9" borderId="0" xfId="0" applyNumberFormat="1" applyFill="1"/>
    <xf numFmtId="0" fontId="1" fillId="10" borderId="0" xfId="0" applyFont="1" applyFill="1"/>
    <xf numFmtId="2" fontId="1" fillId="10" borderId="0" xfId="0" applyNumberFormat="1" applyFont="1" applyFill="1"/>
    <xf numFmtId="0" fontId="0" fillId="10" borderId="0" xfId="0" applyFill="1"/>
    <xf numFmtId="2" fontId="0" fillId="10" borderId="0" xfId="0" applyNumberFormat="1" applyFill="1"/>
    <xf numFmtId="0" fontId="1" fillId="11" borderId="0" xfId="0" applyFont="1" applyFill="1"/>
    <xf numFmtId="2" fontId="1" fillId="11" borderId="0" xfId="0" applyNumberFormat="1" applyFont="1" applyFill="1"/>
    <xf numFmtId="0" fontId="1" fillId="12" borderId="0" xfId="0" applyFont="1" applyFill="1"/>
    <xf numFmtId="2" fontId="1" fillId="12" borderId="0" xfId="0" applyNumberFormat="1" applyFont="1" applyFill="1"/>
    <xf numFmtId="0" fontId="0" fillId="12" borderId="0" xfId="0" applyFill="1"/>
    <xf numFmtId="2" fontId="0" fillId="12" borderId="0" xfId="0" applyNumberFormat="1" applyFill="1"/>
    <xf numFmtId="2" fontId="4" fillId="1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585FA-5DAE-48E5-91DB-0DCC8C17886C}">
  <dimension ref="A1:P88"/>
  <sheetViews>
    <sheetView tabSelected="1" workbookViewId="0">
      <selection activeCell="N10" sqref="N10"/>
    </sheetView>
  </sheetViews>
  <sheetFormatPr defaultRowHeight="15" x14ac:dyDescent="0.25"/>
  <cols>
    <col min="1" max="1" width="15.42578125" bestFit="1" customWidth="1"/>
    <col min="2" max="2" width="11" bestFit="1" customWidth="1"/>
    <col min="3" max="3" width="18" bestFit="1" customWidth="1"/>
    <col min="4" max="4" width="30.140625" bestFit="1" customWidth="1"/>
    <col min="5" max="5" width="0" hidden="1" customWidth="1"/>
    <col min="6" max="6" width="14.28515625" bestFit="1" customWidth="1"/>
    <col min="7" max="7" width="7" bestFit="1" customWidth="1"/>
    <col min="8" max="8" width="7.140625" style="2" bestFit="1" customWidth="1"/>
    <col min="9" max="9" width="10.140625" style="2" bestFit="1" customWidth="1"/>
    <col min="10" max="11" width="10.140625" style="2" customWidth="1"/>
    <col min="12" max="12" width="15.28515625" bestFit="1" customWidth="1"/>
    <col min="13" max="13" width="10.5703125" bestFit="1" customWidth="1"/>
  </cols>
  <sheetData>
    <row r="1" spans="1:16" s="1" customFormat="1" x14ac:dyDescent="0.25">
      <c r="A1" s="1" t="s">
        <v>0</v>
      </c>
      <c r="B1" s="1" t="s">
        <v>194</v>
      </c>
      <c r="C1" s="1" t="s">
        <v>1</v>
      </c>
      <c r="D1" s="1" t="s">
        <v>2</v>
      </c>
      <c r="F1" s="1" t="s">
        <v>281</v>
      </c>
      <c r="G1" s="1" t="s">
        <v>3</v>
      </c>
      <c r="H1" s="3" t="s">
        <v>4</v>
      </c>
      <c r="I1" s="3" t="s">
        <v>6</v>
      </c>
      <c r="J1" s="3"/>
      <c r="K1" s="3"/>
      <c r="L1" s="1" t="s">
        <v>5</v>
      </c>
    </row>
    <row r="2" spans="1:16" s="1" customFormat="1" x14ac:dyDescent="0.25">
      <c r="A2" s="5" t="s">
        <v>7</v>
      </c>
      <c r="B2" s="5" t="s">
        <v>195</v>
      </c>
      <c r="C2" s="5" t="s">
        <v>14</v>
      </c>
      <c r="D2" s="5" t="s">
        <v>108</v>
      </c>
      <c r="E2" s="5" t="s">
        <v>15</v>
      </c>
      <c r="F2" s="5" t="s">
        <v>280</v>
      </c>
      <c r="G2" s="5">
        <v>440070</v>
      </c>
      <c r="H2" s="6">
        <v>300</v>
      </c>
      <c r="I2" s="6">
        <v>50</v>
      </c>
      <c r="J2" s="6">
        <f>H2+I2</f>
        <v>350</v>
      </c>
      <c r="K2" s="6">
        <f>J2*1.2</f>
        <v>420</v>
      </c>
      <c r="L2" s="5" t="s">
        <v>10</v>
      </c>
    </row>
    <row r="3" spans="1:16" x14ac:dyDescent="0.25">
      <c r="A3" s="5" t="s">
        <v>7</v>
      </c>
      <c r="B3" s="5" t="s">
        <v>196</v>
      </c>
      <c r="C3" s="5" t="s">
        <v>14</v>
      </c>
      <c r="D3" s="5" t="s">
        <v>109</v>
      </c>
      <c r="E3" s="5" t="s">
        <v>20</v>
      </c>
      <c r="F3" s="5" t="s">
        <v>280</v>
      </c>
      <c r="G3" s="5">
        <v>938618</v>
      </c>
      <c r="H3" s="6">
        <v>300</v>
      </c>
      <c r="I3" s="6">
        <v>50</v>
      </c>
      <c r="J3" s="6">
        <f t="shared" ref="J3:J66" si="0">H3+I3</f>
        <v>350</v>
      </c>
      <c r="K3" s="6">
        <f t="shared" ref="K3:K66" si="1">J3*1.2</f>
        <v>420</v>
      </c>
      <c r="L3" s="5" t="s">
        <v>10</v>
      </c>
    </row>
    <row r="4" spans="1:16" x14ac:dyDescent="0.25">
      <c r="A4" s="7" t="s">
        <v>7</v>
      </c>
      <c r="B4" s="7" t="s">
        <v>197</v>
      </c>
      <c r="C4" s="7" t="s">
        <v>14</v>
      </c>
      <c r="D4" s="7" t="s">
        <v>110</v>
      </c>
      <c r="E4" s="7" t="s">
        <v>36</v>
      </c>
      <c r="F4" s="7"/>
      <c r="G4" s="7">
        <v>126305</v>
      </c>
      <c r="H4" s="8">
        <v>300</v>
      </c>
      <c r="I4" s="8">
        <v>50</v>
      </c>
      <c r="J4" s="8">
        <f t="shared" si="0"/>
        <v>350</v>
      </c>
      <c r="K4" s="8">
        <f t="shared" si="1"/>
        <v>420</v>
      </c>
      <c r="L4" s="7" t="s">
        <v>10</v>
      </c>
      <c r="P4" s="2">
        <f>I2+I3+I5+I6+I8+I10+I11+I12+I13+I14+I16+I17+I18+I21+I22+I27+I35+I36+I37+I39+I42+I44+I45+I46+I47+I48+I49+I50+I52+I53+I55+I56+I59+I62+I63+I64+I65+I66+I69+I70+I71+I72+I74+I75+I76+I77+I78+I80+I81+I84+I85</f>
        <v>2550</v>
      </c>
    </row>
    <row r="5" spans="1:16" s="1" customFormat="1" x14ac:dyDescent="0.25">
      <c r="A5" s="5" t="s">
        <v>7</v>
      </c>
      <c r="B5" s="5" t="s">
        <v>198</v>
      </c>
      <c r="C5" s="5" t="s">
        <v>14</v>
      </c>
      <c r="D5" s="5" t="s">
        <v>111</v>
      </c>
      <c r="E5" s="5" t="s">
        <v>37</v>
      </c>
      <c r="F5" s="5" t="s">
        <v>280</v>
      </c>
      <c r="G5" s="5">
        <v>912944</v>
      </c>
      <c r="H5" s="6">
        <v>300</v>
      </c>
      <c r="I5" s="6">
        <v>50</v>
      </c>
      <c r="J5" s="6">
        <f t="shared" si="0"/>
        <v>350</v>
      </c>
      <c r="K5" s="6">
        <f t="shared" si="1"/>
        <v>420</v>
      </c>
      <c r="L5" s="5" t="s">
        <v>10</v>
      </c>
    </row>
    <row r="6" spans="1:16" x14ac:dyDescent="0.25">
      <c r="A6" s="5" t="s">
        <v>7</v>
      </c>
      <c r="B6" s="5" t="s">
        <v>199</v>
      </c>
      <c r="C6" s="5" t="s">
        <v>14</v>
      </c>
      <c r="D6" s="5" t="s">
        <v>112</v>
      </c>
      <c r="E6" s="5" t="s">
        <v>68</v>
      </c>
      <c r="F6" s="5" t="s">
        <v>280</v>
      </c>
      <c r="G6" s="5">
        <v>943015</v>
      </c>
      <c r="H6" s="6">
        <v>300</v>
      </c>
      <c r="I6" s="6">
        <v>50</v>
      </c>
      <c r="J6" s="6">
        <f t="shared" si="0"/>
        <v>350</v>
      </c>
      <c r="K6" s="6">
        <f t="shared" si="1"/>
        <v>420</v>
      </c>
      <c r="L6" s="5" t="s">
        <v>10</v>
      </c>
    </row>
    <row r="7" spans="1:16" x14ac:dyDescent="0.25">
      <c r="A7" s="7" t="s">
        <v>7</v>
      </c>
      <c r="B7" s="7" t="s">
        <v>200</v>
      </c>
      <c r="C7" s="7" t="s">
        <v>14</v>
      </c>
      <c r="D7" s="7" t="s">
        <v>113</v>
      </c>
      <c r="E7" s="7" t="s">
        <v>75</v>
      </c>
      <c r="F7" s="7"/>
      <c r="G7" s="7">
        <v>916707</v>
      </c>
      <c r="H7" s="8">
        <v>300</v>
      </c>
      <c r="I7" s="8">
        <v>50</v>
      </c>
      <c r="J7" s="8">
        <f t="shared" si="0"/>
        <v>350</v>
      </c>
      <c r="K7" s="8">
        <f t="shared" si="1"/>
        <v>420</v>
      </c>
      <c r="L7" s="7" t="s">
        <v>10</v>
      </c>
    </row>
    <row r="8" spans="1:16" x14ac:dyDescent="0.25">
      <c r="A8" s="5" t="s">
        <v>7</v>
      </c>
      <c r="B8" s="5" t="s">
        <v>201</v>
      </c>
      <c r="C8" s="5" t="s">
        <v>14</v>
      </c>
      <c r="D8" s="5" t="s">
        <v>114</v>
      </c>
      <c r="E8" s="5" t="s">
        <v>79</v>
      </c>
      <c r="F8" s="5" t="s">
        <v>280</v>
      </c>
      <c r="G8" s="5">
        <v>791314</v>
      </c>
      <c r="H8" s="6">
        <v>300</v>
      </c>
      <c r="I8" s="6">
        <v>50</v>
      </c>
      <c r="J8" s="6">
        <f t="shared" si="0"/>
        <v>350</v>
      </c>
      <c r="K8" s="6">
        <f t="shared" si="1"/>
        <v>420</v>
      </c>
      <c r="L8" s="5" t="s">
        <v>10</v>
      </c>
    </row>
    <row r="9" spans="1:16" x14ac:dyDescent="0.25">
      <c r="A9" s="9" t="s">
        <v>7</v>
      </c>
      <c r="B9" s="9" t="s">
        <v>202</v>
      </c>
      <c r="C9" s="9" t="s">
        <v>8</v>
      </c>
      <c r="D9" s="9" t="s">
        <v>115</v>
      </c>
      <c r="E9" s="9" t="s">
        <v>9</v>
      </c>
      <c r="F9" s="9"/>
      <c r="G9" s="9">
        <v>812967</v>
      </c>
      <c r="H9" s="10">
        <v>300</v>
      </c>
      <c r="I9" s="10">
        <v>50</v>
      </c>
      <c r="J9" s="10">
        <f t="shared" si="0"/>
        <v>350</v>
      </c>
      <c r="K9" s="10">
        <f t="shared" si="1"/>
        <v>420</v>
      </c>
      <c r="L9" s="9" t="s">
        <v>10</v>
      </c>
    </row>
    <row r="10" spans="1:16" x14ac:dyDescent="0.25">
      <c r="A10" s="11" t="s">
        <v>7</v>
      </c>
      <c r="B10" s="11" t="s">
        <v>203</v>
      </c>
      <c r="C10" s="11" t="s">
        <v>8</v>
      </c>
      <c r="D10" s="11" t="s">
        <v>116</v>
      </c>
      <c r="E10" s="11" t="s">
        <v>24</v>
      </c>
      <c r="F10" s="11" t="s">
        <v>280</v>
      </c>
      <c r="G10" s="11">
        <v>888840</v>
      </c>
      <c r="H10" s="12">
        <v>300</v>
      </c>
      <c r="I10" s="12">
        <v>50</v>
      </c>
      <c r="J10" s="12">
        <f t="shared" si="0"/>
        <v>350</v>
      </c>
      <c r="K10" s="12">
        <f t="shared" si="1"/>
        <v>420</v>
      </c>
      <c r="L10" s="11" t="s">
        <v>10</v>
      </c>
    </row>
    <row r="11" spans="1:16" x14ac:dyDescent="0.25">
      <c r="A11" s="11" t="s">
        <v>7</v>
      </c>
      <c r="B11" s="11" t="s">
        <v>204</v>
      </c>
      <c r="C11" s="11" t="s">
        <v>8</v>
      </c>
      <c r="D11" s="11" t="s">
        <v>117</v>
      </c>
      <c r="E11" s="11" t="s">
        <v>28</v>
      </c>
      <c r="F11" s="11" t="s">
        <v>280</v>
      </c>
      <c r="G11" s="11">
        <v>97718</v>
      </c>
      <c r="H11" s="12">
        <v>300</v>
      </c>
      <c r="I11" s="12">
        <v>50</v>
      </c>
      <c r="J11" s="12">
        <f t="shared" si="0"/>
        <v>350</v>
      </c>
      <c r="K11" s="12">
        <f t="shared" si="1"/>
        <v>420</v>
      </c>
      <c r="L11" s="11" t="s">
        <v>10</v>
      </c>
    </row>
    <row r="12" spans="1:16" s="1" customFormat="1" x14ac:dyDescent="0.25">
      <c r="A12" s="11" t="s">
        <v>7</v>
      </c>
      <c r="B12" s="11" t="s">
        <v>205</v>
      </c>
      <c r="C12" s="11" t="s">
        <v>8</v>
      </c>
      <c r="D12" s="11" t="s">
        <v>118</v>
      </c>
      <c r="E12" s="11" t="s">
        <v>32</v>
      </c>
      <c r="F12" s="11" t="s">
        <v>280</v>
      </c>
      <c r="G12" s="11">
        <v>714504</v>
      </c>
      <c r="H12" s="12">
        <v>300</v>
      </c>
      <c r="I12" s="12">
        <v>50</v>
      </c>
      <c r="J12" s="12">
        <f t="shared" si="0"/>
        <v>350</v>
      </c>
      <c r="K12" s="12">
        <f t="shared" si="1"/>
        <v>420</v>
      </c>
      <c r="L12" s="11" t="s">
        <v>10</v>
      </c>
    </row>
    <row r="13" spans="1:16" s="1" customFormat="1" x14ac:dyDescent="0.25">
      <c r="A13" s="11" t="s">
        <v>7</v>
      </c>
      <c r="B13" s="11" t="s">
        <v>206</v>
      </c>
      <c r="C13" s="11" t="s">
        <v>8</v>
      </c>
      <c r="D13" s="11" t="s">
        <v>119</v>
      </c>
      <c r="E13" s="11" t="s">
        <v>33</v>
      </c>
      <c r="F13" s="11" t="s">
        <v>280</v>
      </c>
      <c r="G13" s="11">
        <v>395429</v>
      </c>
      <c r="H13" s="12">
        <v>300</v>
      </c>
      <c r="I13" s="12">
        <v>50</v>
      </c>
      <c r="J13" s="12">
        <f t="shared" si="0"/>
        <v>350</v>
      </c>
      <c r="K13" s="12">
        <f t="shared" si="1"/>
        <v>420</v>
      </c>
      <c r="L13" s="11" t="s">
        <v>10</v>
      </c>
    </row>
    <row r="14" spans="1:16" x14ac:dyDescent="0.25">
      <c r="A14" s="11" t="s">
        <v>7</v>
      </c>
      <c r="B14" s="11" t="s">
        <v>207</v>
      </c>
      <c r="C14" s="11" t="s">
        <v>8</v>
      </c>
      <c r="D14" s="11" t="s">
        <v>120</v>
      </c>
      <c r="E14" s="11" t="s">
        <v>38</v>
      </c>
      <c r="F14" s="11" t="s">
        <v>280</v>
      </c>
      <c r="G14" s="11">
        <v>851634</v>
      </c>
      <c r="H14" s="12">
        <v>300</v>
      </c>
      <c r="I14" s="12">
        <v>50</v>
      </c>
      <c r="J14" s="12">
        <f t="shared" si="0"/>
        <v>350</v>
      </c>
      <c r="K14" s="12">
        <f t="shared" si="1"/>
        <v>420</v>
      </c>
      <c r="L14" s="11" t="s">
        <v>10</v>
      </c>
    </row>
    <row r="15" spans="1:16" x14ac:dyDescent="0.25">
      <c r="A15" s="9" t="s">
        <v>7</v>
      </c>
      <c r="B15" s="9" t="s">
        <v>208</v>
      </c>
      <c r="C15" s="9" t="s">
        <v>8</v>
      </c>
      <c r="D15" s="9" t="s">
        <v>121</v>
      </c>
      <c r="E15" s="9" t="s">
        <v>40</v>
      </c>
      <c r="F15" s="9"/>
      <c r="G15" s="9">
        <v>895292</v>
      </c>
      <c r="H15" s="10">
        <v>300</v>
      </c>
      <c r="I15" s="10">
        <v>50</v>
      </c>
      <c r="J15" s="10">
        <f t="shared" si="0"/>
        <v>350</v>
      </c>
      <c r="K15" s="10">
        <f t="shared" si="1"/>
        <v>420</v>
      </c>
      <c r="L15" s="9" t="s">
        <v>10</v>
      </c>
    </row>
    <row r="16" spans="1:16" x14ac:dyDescent="0.25">
      <c r="A16" s="11" t="s">
        <v>7</v>
      </c>
      <c r="B16" s="11" t="s">
        <v>209</v>
      </c>
      <c r="C16" s="11" t="s">
        <v>8</v>
      </c>
      <c r="D16" s="11" t="s">
        <v>122</v>
      </c>
      <c r="E16" s="11" t="s">
        <v>42</v>
      </c>
      <c r="F16" s="11" t="s">
        <v>280</v>
      </c>
      <c r="G16" s="11">
        <v>849911</v>
      </c>
      <c r="H16" s="12">
        <v>300</v>
      </c>
      <c r="I16" s="12">
        <v>50</v>
      </c>
      <c r="J16" s="12">
        <f t="shared" si="0"/>
        <v>350</v>
      </c>
      <c r="K16" s="12">
        <f t="shared" si="1"/>
        <v>420</v>
      </c>
      <c r="L16" s="11" t="s">
        <v>10</v>
      </c>
    </row>
    <row r="17" spans="1:12" x14ac:dyDescent="0.25">
      <c r="A17" s="11" t="s">
        <v>7</v>
      </c>
      <c r="B17" s="11" t="s">
        <v>210</v>
      </c>
      <c r="C17" s="11" t="s">
        <v>8</v>
      </c>
      <c r="D17" s="11" t="s">
        <v>123</v>
      </c>
      <c r="E17" s="11" t="s">
        <v>49</v>
      </c>
      <c r="F17" s="11" t="s">
        <v>280</v>
      </c>
      <c r="G17" s="11">
        <v>895301</v>
      </c>
      <c r="H17" s="12">
        <v>300</v>
      </c>
      <c r="I17" s="12">
        <v>50</v>
      </c>
      <c r="J17" s="12">
        <f t="shared" si="0"/>
        <v>350</v>
      </c>
      <c r="K17" s="12">
        <f t="shared" si="1"/>
        <v>420</v>
      </c>
      <c r="L17" s="11" t="s">
        <v>10</v>
      </c>
    </row>
    <row r="18" spans="1:12" x14ac:dyDescent="0.25">
      <c r="A18" s="11" t="s">
        <v>7</v>
      </c>
      <c r="B18" s="11" t="s">
        <v>211</v>
      </c>
      <c r="C18" s="11" t="s">
        <v>8</v>
      </c>
      <c r="D18" s="11" t="s">
        <v>124</v>
      </c>
      <c r="E18" s="11" t="s">
        <v>50</v>
      </c>
      <c r="F18" s="11" t="s">
        <v>280</v>
      </c>
      <c r="G18" s="11">
        <v>215624</v>
      </c>
      <c r="H18" s="12">
        <v>300</v>
      </c>
      <c r="I18" s="12">
        <v>50</v>
      </c>
      <c r="J18" s="12">
        <f t="shared" si="0"/>
        <v>350</v>
      </c>
      <c r="K18" s="12">
        <f t="shared" si="1"/>
        <v>420</v>
      </c>
      <c r="L18" s="11" t="s">
        <v>10</v>
      </c>
    </row>
    <row r="19" spans="1:12" x14ac:dyDescent="0.25">
      <c r="A19" s="9" t="s">
        <v>7</v>
      </c>
      <c r="B19" s="9" t="s">
        <v>212</v>
      </c>
      <c r="C19" s="9" t="s">
        <v>8</v>
      </c>
      <c r="D19" s="9" t="s">
        <v>125</v>
      </c>
      <c r="E19" s="9" t="s">
        <v>53</v>
      </c>
      <c r="F19" s="9"/>
      <c r="G19" s="9">
        <v>742726</v>
      </c>
      <c r="H19" s="10">
        <v>300</v>
      </c>
      <c r="I19" s="10">
        <v>50</v>
      </c>
      <c r="J19" s="10">
        <f t="shared" si="0"/>
        <v>350</v>
      </c>
      <c r="K19" s="10">
        <f t="shared" si="1"/>
        <v>420</v>
      </c>
      <c r="L19" s="9" t="s">
        <v>10</v>
      </c>
    </row>
    <row r="20" spans="1:12" s="1" customFormat="1" x14ac:dyDescent="0.25">
      <c r="A20" s="11" t="s">
        <v>7</v>
      </c>
      <c r="B20" s="11" t="s">
        <v>213</v>
      </c>
      <c r="C20" s="11" t="s">
        <v>8</v>
      </c>
      <c r="D20" s="11" t="s">
        <v>126</v>
      </c>
      <c r="E20" s="11" t="s">
        <v>65</v>
      </c>
      <c r="F20" s="11" t="s">
        <v>280</v>
      </c>
      <c r="G20" s="11">
        <v>926037</v>
      </c>
      <c r="H20" s="12">
        <v>300</v>
      </c>
      <c r="I20" s="12">
        <v>50</v>
      </c>
      <c r="J20" s="12">
        <f t="shared" si="0"/>
        <v>350</v>
      </c>
      <c r="K20" s="12">
        <f t="shared" si="1"/>
        <v>420</v>
      </c>
      <c r="L20" s="11" t="s">
        <v>10</v>
      </c>
    </row>
    <row r="21" spans="1:12" x14ac:dyDescent="0.25">
      <c r="A21" s="11" t="s">
        <v>7</v>
      </c>
      <c r="B21" s="11" t="s">
        <v>214</v>
      </c>
      <c r="C21" s="11" t="s">
        <v>8</v>
      </c>
      <c r="D21" s="11" t="s">
        <v>127</v>
      </c>
      <c r="E21" s="11" t="s">
        <v>78</v>
      </c>
      <c r="F21" s="11" t="s">
        <v>280</v>
      </c>
      <c r="G21" s="11">
        <v>526917</v>
      </c>
      <c r="H21" s="12">
        <v>300</v>
      </c>
      <c r="I21" s="12">
        <v>50</v>
      </c>
      <c r="J21" s="12">
        <f t="shared" si="0"/>
        <v>350</v>
      </c>
      <c r="K21" s="12">
        <f t="shared" si="1"/>
        <v>420</v>
      </c>
      <c r="L21" s="11" t="s">
        <v>10</v>
      </c>
    </row>
    <row r="22" spans="1:12" s="1" customFormat="1" x14ac:dyDescent="0.25">
      <c r="A22" s="11" t="s">
        <v>7</v>
      </c>
      <c r="B22" s="11" t="s">
        <v>215</v>
      </c>
      <c r="C22" s="11" t="s">
        <v>8</v>
      </c>
      <c r="D22" s="11" t="s">
        <v>128</v>
      </c>
      <c r="E22" s="11" t="s">
        <v>82</v>
      </c>
      <c r="F22" s="11" t="s">
        <v>280</v>
      </c>
      <c r="G22" s="11">
        <v>869315</v>
      </c>
      <c r="H22" s="12">
        <v>300</v>
      </c>
      <c r="I22" s="12">
        <v>50</v>
      </c>
      <c r="J22" s="12">
        <f t="shared" si="0"/>
        <v>350</v>
      </c>
      <c r="K22" s="12">
        <f t="shared" si="1"/>
        <v>420</v>
      </c>
      <c r="L22" s="11" t="s">
        <v>10</v>
      </c>
    </row>
    <row r="23" spans="1:12" x14ac:dyDescent="0.25">
      <c r="A23" s="9" t="s">
        <v>7</v>
      </c>
      <c r="B23" s="9" t="s">
        <v>216</v>
      </c>
      <c r="C23" s="9" t="s">
        <v>8</v>
      </c>
      <c r="D23" s="9" t="s">
        <v>129</v>
      </c>
      <c r="E23" s="9" t="s">
        <v>88</v>
      </c>
      <c r="F23" s="9"/>
      <c r="G23" s="9">
        <v>877966</v>
      </c>
      <c r="H23" s="10">
        <v>300</v>
      </c>
      <c r="I23" s="10">
        <v>50</v>
      </c>
      <c r="J23" s="10">
        <f t="shared" si="0"/>
        <v>350</v>
      </c>
      <c r="K23" s="10">
        <f t="shared" si="1"/>
        <v>420</v>
      </c>
      <c r="L23" s="9" t="s">
        <v>10</v>
      </c>
    </row>
    <row r="24" spans="1:12" s="5" customFormat="1" hidden="1" x14ac:dyDescent="0.25">
      <c r="A24" s="5" t="s">
        <v>7</v>
      </c>
      <c r="B24" s="5" t="s">
        <v>217</v>
      </c>
      <c r="C24" s="5" t="s">
        <v>45</v>
      </c>
      <c r="D24" s="5" t="s">
        <v>130</v>
      </c>
      <c r="E24" s="5" t="s">
        <v>46</v>
      </c>
      <c r="F24" s="5" t="s">
        <v>280</v>
      </c>
      <c r="G24" s="5">
        <v>818935</v>
      </c>
      <c r="H24" s="6">
        <v>300</v>
      </c>
      <c r="I24" s="6">
        <v>50</v>
      </c>
      <c r="J24" s="6">
        <f t="shared" si="0"/>
        <v>350</v>
      </c>
      <c r="K24" s="6">
        <f t="shared" si="1"/>
        <v>420</v>
      </c>
      <c r="L24" s="5" t="s">
        <v>10</v>
      </c>
    </row>
    <row r="25" spans="1:12" s="7" customFormat="1" hidden="1" x14ac:dyDescent="0.25">
      <c r="A25" s="5" t="s">
        <v>7</v>
      </c>
      <c r="B25" s="5" t="s">
        <v>218</v>
      </c>
      <c r="C25" s="5" t="s">
        <v>45</v>
      </c>
      <c r="D25" s="5" t="s">
        <v>131</v>
      </c>
      <c r="E25" s="5" t="s">
        <v>77</v>
      </c>
      <c r="F25" s="5" t="s">
        <v>280</v>
      </c>
      <c r="G25" s="5">
        <v>902258</v>
      </c>
      <c r="H25" s="6">
        <v>300</v>
      </c>
      <c r="I25" s="6">
        <v>50</v>
      </c>
      <c r="J25" s="6">
        <f t="shared" si="0"/>
        <v>350</v>
      </c>
      <c r="K25" s="6">
        <f t="shared" si="1"/>
        <v>420</v>
      </c>
      <c r="L25" s="5" t="s">
        <v>10</v>
      </c>
    </row>
    <row r="26" spans="1:12" s="7" customFormat="1" hidden="1" x14ac:dyDescent="0.25">
      <c r="A26" s="5" t="s">
        <v>7</v>
      </c>
      <c r="B26" s="5" t="s">
        <v>219</v>
      </c>
      <c r="C26" s="5" t="s">
        <v>45</v>
      </c>
      <c r="D26" s="5" t="s">
        <v>132</v>
      </c>
      <c r="E26" s="5" t="s">
        <v>98</v>
      </c>
      <c r="F26" s="5" t="s">
        <v>280</v>
      </c>
      <c r="G26" s="5">
        <v>499994</v>
      </c>
      <c r="H26" s="6">
        <v>300</v>
      </c>
      <c r="I26" s="6">
        <v>50</v>
      </c>
      <c r="J26" s="6">
        <f t="shared" si="0"/>
        <v>350</v>
      </c>
      <c r="K26" s="6">
        <f t="shared" si="1"/>
        <v>420</v>
      </c>
      <c r="L26" s="5" t="s">
        <v>10</v>
      </c>
    </row>
    <row r="27" spans="1:12" s="1" customFormat="1" x14ac:dyDescent="0.25">
      <c r="A27" s="13" t="s">
        <v>7</v>
      </c>
      <c r="B27" s="13" t="s">
        <v>220</v>
      </c>
      <c r="C27" s="13" t="s">
        <v>11</v>
      </c>
      <c r="D27" s="13" t="s">
        <v>133</v>
      </c>
      <c r="E27" s="13" t="s">
        <v>12</v>
      </c>
      <c r="F27" s="13" t="s">
        <v>280</v>
      </c>
      <c r="G27" s="13">
        <v>907185</v>
      </c>
      <c r="H27" s="14">
        <v>300</v>
      </c>
      <c r="I27" s="14">
        <v>50</v>
      </c>
      <c r="J27" s="14">
        <f t="shared" si="0"/>
        <v>350</v>
      </c>
      <c r="K27" s="14">
        <f t="shared" si="1"/>
        <v>420</v>
      </c>
      <c r="L27" s="13" t="s">
        <v>10</v>
      </c>
    </row>
    <row r="28" spans="1:12" x14ac:dyDescent="0.25">
      <c r="A28" s="15" t="s">
        <v>7</v>
      </c>
      <c r="B28" s="15" t="s">
        <v>221</v>
      </c>
      <c r="C28" s="15" t="s">
        <v>11</v>
      </c>
      <c r="D28" s="15" t="s">
        <v>134</v>
      </c>
      <c r="E28" s="15" t="s">
        <v>13</v>
      </c>
      <c r="F28" s="15"/>
      <c r="G28" s="15">
        <v>792010</v>
      </c>
      <c r="H28" s="16">
        <v>300</v>
      </c>
      <c r="I28" s="16">
        <v>50</v>
      </c>
      <c r="J28" s="16">
        <f t="shared" si="0"/>
        <v>350</v>
      </c>
      <c r="K28" s="16">
        <f t="shared" si="1"/>
        <v>420</v>
      </c>
      <c r="L28" s="15" t="s">
        <v>10</v>
      </c>
    </row>
    <row r="29" spans="1:12" x14ac:dyDescent="0.25">
      <c r="A29" s="15" t="s">
        <v>7</v>
      </c>
      <c r="B29" s="15" t="s">
        <v>222</v>
      </c>
      <c r="C29" s="15" t="s">
        <v>11</v>
      </c>
      <c r="D29" s="15" t="s">
        <v>135</v>
      </c>
      <c r="E29" s="15" t="s">
        <v>29</v>
      </c>
      <c r="F29" s="15"/>
      <c r="G29" s="15">
        <v>927729</v>
      </c>
      <c r="H29" s="16">
        <v>300</v>
      </c>
      <c r="I29" s="16">
        <v>50</v>
      </c>
      <c r="J29" s="16">
        <f t="shared" si="0"/>
        <v>350</v>
      </c>
      <c r="K29" s="16">
        <f t="shared" si="1"/>
        <v>420</v>
      </c>
      <c r="L29" s="15" t="s">
        <v>10</v>
      </c>
    </row>
    <row r="30" spans="1:12" x14ac:dyDescent="0.25">
      <c r="A30" s="15" t="s">
        <v>7</v>
      </c>
      <c r="B30" s="15" t="s">
        <v>223</v>
      </c>
      <c r="C30" s="15" t="s">
        <v>11</v>
      </c>
      <c r="D30" s="15" t="s">
        <v>136</v>
      </c>
      <c r="E30" s="15" t="s">
        <v>39</v>
      </c>
      <c r="F30" s="15"/>
      <c r="G30" s="15">
        <v>262090</v>
      </c>
      <c r="H30" s="16">
        <v>300</v>
      </c>
      <c r="I30" s="16">
        <v>50</v>
      </c>
      <c r="J30" s="16">
        <f t="shared" si="0"/>
        <v>350</v>
      </c>
      <c r="K30" s="16">
        <f t="shared" si="1"/>
        <v>420</v>
      </c>
      <c r="L30" s="15" t="s">
        <v>10</v>
      </c>
    </row>
    <row r="31" spans="1:12" x14ac:dyDescent="0.25">
      <c r="A31" s="15" t="s">
        <v>7</v>
      </c>
      <c r="B31" s="15" t="s">
        <v>224</v>
      </c>
      <c r="C31" s="15" t="s">
        <v>11</v>
      </c>
      <c r="D31" s="15" t="s">
        <v>137</v>
      </c>
      <c r="E31" s="15" t="s">
        <v>41</v>
      </c>
      <c r="F31" s="15"/>
      <c r="G31" s="15">
        <v>14652</v>
      </c>
      <c r="H31" s="16">
        <v>300</v>
      </c>
      <c r="I31" s="16">
        <v>50</v>
      </c>
      <c r="J31" s="16">
        <f t="shared" si="0"/>
        <v>350</v>
      </c>
      <c r="K31" s="16">
        <f t="shared" si="1"/>
        <v>420</v>
      </c>
      <c r="L31" s="15" t="s">
        <v>10</v>
      </c>
    </row>
    <row r="32" spans="1:12" x14ac:dyDescent="0.25">
      <c r="A32" s="15" t="s">
        <v>7</v>
      </c>
      <c r="B32" s="15" t="s">
        <v>225</v>
      </c>
      <c r="C32" s="15" t="s">
        <v>11</v>
      </c>
      <c r="D32" s="15" t="s">
        <v>138</v>
      </c>
      <c r="E32" s="15" t="s">
        <v>51</v>
      </c>
      <c r="F32" s="15"/>
      <c r="G32" s="15">
        <v>165412</v>
      </c>
      <c r="H32" s="16">
        <v>300</v>
      </c>
      <c r="I32" s="16">
        <v>50</v>
      </c>
      <c r="J32" s="16">
        <f t="shared" si="0"/>
        <v>350</v>
      </c>
      <c r="K32" s="16">
        <f t="shared" si="1"/>
        <v>420</v>
      </c>
      <c r="L32" s="15" t="s">
        <v>10</v>
      </c>
    </row>
    <row r="33" spans="1:15" x14ac:dyDescent="0.25">
      <c r="A33" s="15" t="s">
        <v>7</v>
      </c>
      <c r="B33" s="15" t="s">
        <v>226</v>
      </c>
      <c r="C33" s="15" t="s">
        <v>11</v>
      </c>
      <c r="D33" s="15" t="s">
        <v>139</v>
      </c>
      <c r="E33" s="15" t="s">
        <v>52</v>
      </c>
      <c r="F33" s="15"/>
      <c r="G33" s="15">
        <v>148146</v>
      </c>
      <c r="H33" s="16">
        <v>300</v>
      </c>
      <c r="I33" s="16">
        <v>50</v>
      </c>
      <c r="J33" s="16">
        <f t="shared" si="0"/>
        <v>350</v>
      </c>
      <c r="K33" s="16">
        <f t="shared" si="1"/>
        <v>420</v>
      </c>
      <c r="L33" s="15" t="s">
        <v>10</v>
      </c>
    </row>
    <row r="34" spans="1:15" x14ac:dyDescent="0.25">
      <c r="A34" s="15" t="s">
        <v>7</v>
      </c>
      <c r="B34" s="15" t="s">
        <v>227</v>
      </c>
      <c r="C34" s="15" t="s">
        <v>11</v>
      </c>
      <c r="D34" s="15" t="s">
        <v>140</v>
      </c>
      <c r="E34" s="15" t="s">
        <v>54</v>
      </c>
      <c r="F34" s="15"/>
      <c r="G34" s="15">
        <v>882182</v>
      </c>
      <c r="H34" s="16">
        <v>300</v>
      </c>
      <c r="I34" s="16">
        <v>50</v>
      </c>
      <c r="J34" s="16">
        <f t="shared" si="0"/>
        <v>350</v>
      </c>
      <c r="K34" s="16">
        <f t="shared" si="1"/>
        <v>420</v>
      </c>
      <c r="L34" s="15" t="s">
        <v>10</v>
      </c>
    </row>
    <row r="35" spans="1:15" x14ac:dyDescent="0.25">
      <c r="A35" s="13" t="s">
        <v>7</v>
      </c>
      <c r="B35" s="13" t="s">
        <v>228</v>
      </c>
      <c r="C35" s="13" t="s">
        <v>11</v>
      </c>
      <c r="D35" s="13" t="s">
        <v>141</v>
      </c>
      <c r="E35" s="13" t="s">
        <v>58</v>
      </c>
      <c r="F35" s="13" t="s">
        <v>280</v>
      </c>
      <c r="G35" s="13">
        <v>108597</v>
      </c>
      <c r="H35" s="14">
        <v>300</v>
      </c>
      <c r="I35" s="14">
        <v>50</v>
      </c>
      <c r="J35" s="14">
        <f t="shared" si="0"/>
        <v>350</v>
      </c>
      <c r="K35" s="14">
        <f t="shared" si="1"/>
        <v>420</v>
      </c>
      <c r="L35" s="13" t="s">
        <v>10</v>
      </c>
    </row>
    <row r="36" spans="1:15" x14ac:dyDescent="0.25">
      <c r="A36" s="13" t="s">
        <v>7</v>
      </c>
      <c r="B36" s="13" t="s">
        <v>229</v>
      </c>
      <c r="C36" s="13" t="s">
        <v>11</v>
      </c>
      <c r="D36" s="13" t="s">
        <v>142</v>
      </c>
      <c r="E36" s="13" t="s">
        <v>59</v>
      </c>
      <c r="F36" s="13" t="s">
        <v>280</v>
      </c>
      <c r="G36" s="13">
        <v>616386</v>
      </c>
      <c r="H36" s="14">
        <v>300</v>
      </c>
      <c r="I36" s="14">
        <v>50</v>
      </c>
      <c r="J36" s="14">
        <f t="shared" si="0"/>
        <v>350</v>
      </c>
      <c r="K36" s="14">
        <f t="shared" si="1"/>
        <v>420</v>
      </c>
      <c r="L36" s="13" t="s">
        <v>10</v>
      </c>
    </row>
    <row r="37" spans="1:15" s="1" customFormat="1" x14ac:dyDescent="0.25">
      <c r="A37" s="13" t="s">
        <v>7</v>
      </c>
      <c r="B37" s="13" t="s">
        <v>230</v>
      </c>
      <c r="C37" s="13" t="s">
        <v>11</v>
      </c>
      <c r="D37" s="13" t="s">
        <v>143</v>
      </c>
      <c r="E37" s="13" t="s">
        <v>60</v>
      </c>
      <c r="F37" s="13" t="s">
        <v>280</v>
      </c>
      <c r="G37" s="13">
        <v>911945</v>
      </c>
      <c r="H37" s="14">
        <v>300</v>
      </c>
      <c r="I37" s="14">
        <v>50</v>
      </c>
      <c r="J37" s="14">
        <f t="shared" si="0"/>
        <v>350</v>
      </c>
      <c r="K37" s="14">
        <f t="shared" si="1"/>
        <v>420</v>
      </c>
      <c r="L37" s="13" t="s">
        <v>10</v>
      </c>
    </row>
    <row r="38" spans="1:15" x14ac:dyDescent="0.25">
      <c r="A38" s="15" t="s">
        <v>7</v>
      </c>
      <c r="B38" s="15" t="s">
        <v>231</v>
      </c>
      <c r="C38" s="15" t="s">
        <v>11</v>
      </c>
      <c r="D38" s="15" t="s">
        <v>144</v>
      </c>
      <c r="E38" s="15" t="s">
        <v>61</v>
      </c>
      <c r="F38" s="15"/>
      <c r="G38" s="15">
        <v>199572</v>
      </c>
      <c r="H38" s="16">
        <v>300</v>
      </c>
      <c r="I38" s="16">
        <v>50</v>
      </c>
      <c r="J38" s="16">
        <f t="shared" si="0"/>
        <v>350</v>
      </c>
      <c r="K38" s="16">
        <f t="shared" si="1"/>
        <v>420</v>
      </c>
      <c r="L38" s="15" t="s">
        <v>10</v>
      </c>
    </row>
    <row r="39" spans="1:15" x14ac:dyDescent="0.25">
      <c r="A39" s="13" t="s">
        <v>7</v>
      </c>
      <c r="B39" s="13" t="s">
        <v>232</v>
      </c>
      <c r="C39" s="13" t="s">
        <v>11</v>
      </c>
      <c r="D39" s="13" t="s">
        <v>145</v>
      </c>
      <c r="E39" s="13" t="s">
        <v>64</v>
      </c>
      <c r="F39" s="13" t="s">
        <v>280</v>
      </c>
      <c r="G39" s="13">
        <v>411765</v>
      </c>
      <c r="H39" s="14">
        <v>300</v>
      </c>
      <c r="I39" s="14">
        <v>50</v>
      </c>
      <c r="J39" s="14">
        <f t="shared" si="0"/>
        <v>350</v>
      </c>
      <c r="K39" s="14">
        <f t="shared" si="1"/>
        <v>420</v>
      </c>
      <c r="L39" s="13" t="s">
        <v>10</v>
      </c>
    </row>
    <row r="40" spans="1:15" x14ac:dyDescent="0.25">
      <c r="A40" s="15" t="s">
        <v>7</v>
      </c>
      <c r="B40" s="15" t="s">
        <v>233</v>
      </c>
      <c r="C40" s="15" t="s">
        <v>11</v>
      </c>
      <c r="D40" s="15" t="s">
        <v>146</v>
      </c>
      <c r="E40" s="15" t="s">
        <v>71</v>
      </c>
      <c r="F40" s="15"/>
      <c r="G40" s="15">
        <v>163302</v>
      </c>
      <c r="H40" s="16">
        <v>300</v>
      </c>
      <c r="I40" s="16">
        <v>50</v>
      </c>
      <c r="J40" s="16">
        <f t="shared" si="0"/>
        <v>350</v>
      </c>
      <c r="K40" s="16">
        <f t="shared" si="1"/>
        <v>420</v>
      </c>
      <c r="L40" s="15" t="s">
        <v>10</v>
      </c>
    </row>
    <row r="41" spans="1:15" x14ac:dyDescent="0.25">
      <c r="A41" s="15" t="s">
        <v>7</v>
      </c>
      <c r="B41" s="15" t="s">
        <v>234</v>
      </c>
      <c r="C41" s="15" t="s">
        <v>11</v>
      </c>
      <c r="D41" s="15" t="s">
        <v>147</v>
      </c>
      <c r="E41" s="15" t="s">
        <v>90</v>
      </c>
      <c r="F41" s="15"/>
      <c r="G41" s="15">
        <v>698134</v>
      </c>
      <c r="H41" s="16">
        <v>300</v>
      </c>
      <c r="I41" s="16">
        <v>50</v>
      </c>
      <c r="J41" s="16">
        <f t="shared" si="0"/>
        <v>350</v>
      </c>
      <c r="K41" s="16">
        <f t="shared" si="1"/>
        <v>420</v>
      </c>
      <c r="L41" s="15" t="s">
        <v>10</v>
      </c>
    </row>
    <row r="42" spans="1:15" x14ac:dyDescent="0.25">
      <c r="A42" s="13" t="s">
        <v>7</v>
      </c>
      <c r="B42" s="13" t="s">
        <v>235</v>
      </c>
      <c r="C42" s="13" t="s">
        <v>11</v>
      </c>
      <c r="D42" s="13" t="s">
        <v>148</v>
      </c>
      <c r="E42" s="13" t="s">
        <v>91</v>
      </c>
      <c r="F42" s="13" t="s">
        <v>280</v>
      </c>
      <c r="G42" s="13">
        <v>839883</v>
      </c>
      <c r="H42" s="14">
        <v>300</v>
      </c>
      <c r="I42" s="14">
        <v>50</v>
      </c>
      <c r="J42" s="14">
        <f t="shared" si="0"/>
        <v>350</v>
      </c>
      <c r="K42" s="14">
        <f t="shared" si="1"/>
        <v>420</v>
      </c>
      <c r="L42" s="13" t="s">
        <v>10</v>
      </c>
    </row>
    <row r="43" spans="1:15" x14ac:dyDescent="0.25">
      <c r="A43" s="15" t="s">
        <v>7</v>
      </c>
      <c r="B43" s="15" t="s">
        <v>236</v>
      </c>
      <c r="C43" s="15" t="s">
        <v>11</v>
      </c>
      <c r="D43" s="15" t="s">
        <v>149</v>
      </c>
      <c r="E43" s="15" t="s">
        <v>93</v>
      </c>
      <c r="F43" s="15"/>
      <c r="G43" s="15">
        <v>916014</v>
      </c>
      <c r="H43" s="16">
        <v>300</v>
      </c>
      <c r="I43" s="16">
        <v>50</v>
      </c>
      <c r="J43" s="16">
        <f t="shared" si="0"/>
        <v>350</v>
      </c>
      <c r="K43" s="16">
        <f t="shared" si="1"/>
        <v>420</v>
      </c>
      <c r="L43" s="15" t="s">
        <v>10</v>
      </c>
    </row>
    <row r="44" spans="1:15" x14ac:dyDescent="0.25">
      <c r="A44" s="13" t="s">
        <v>7</v>
      </c>
      <c r="B44" s="13" t="s">
        <v>237</v>
      </c>
      <c r="C44" s="13" t="s">
        <v>11</v>
      </c>
      <c r="D44" s="13" t="s">
        <v>150</v>
      </c>
      <c r="E44" s="13" t="s">
        <v>95</v>
      </c>
      <c r="F44" s="13" t="s">
        <v>280</v>
      </c>
      <c r="G44" s="13">
        <v>907963</v>
      </c>
      <c r="H44" s="14">
        <v>300</v>
      </c>
      <c r="I44" s="14">
        <v>50</v>
      </c>
      <c r="J44" s="14">
        <f t="shared" si="0"/>
        <v>350</v>
      </c>
      <c r="K44" s="14">
        <f t="shared" si="1"/>
        <v>420</v>
      </c>
      <c r="L44" s="13" t="s">
        <v>10</v>
      </c>
    </row>
    <row r="45" spans="1:15" s="1" customFormat="1" x14ac:dyDescent="0.25">
      <c r="A45" s="13" t="s">
        <v>7</v>
      </c>
      <c r="B45" s="13" t="s">
        <v>238</v>
      </c>
      <c r="C45" s="13" t="s">
        <v>11</v>
      </c>
      <c r="D45" s="13" t="s">
        <v>151</v>
      </c>
      <c r="E45" s="13" t="s">
        <v>96</v>
      </c>
      <c r="F45" s="13" t="s">
        <v>280</v>
      </c>
      <c r="G45" s="13">
        <v>99105</v>
      </c>
      <c r="H45" s="14">
        <v>300</v>
      </c>
      <c r="I45" s="14">
        <v>50</v>
      </c>
      <c r="J45" s="14">
        <f t="shared" si="0"/>
        <v>350</v>
      </c>
      <c r="K45" s="14">
        <f t="shared" si="1"/>
        <v>420</v>
      </c>
      <c r="L45" s="13" t="s">
        <v>10</v>
      </c>
    </row>
    <row r="46" spans="1:15" s="1" customFormat="1" x14ac:dyDescent="0.25">
      <c r="A46" s="13" t="s">
        <v>7</v>
      </c>
      <c r="B46" s="13" t="s">
        <v>239</v>
      </c>
      <c r="C46" s="13" t="s">
        <v>11</v>
      </c>
      <c r="D46" s="13" t="s">
        <v>152</v>
      </c>
      <c r="E46" s="13" t="s">
        <v>100</v>
      </c>
      <c r="F46" s="13" t="s">
        <v>280</v>
      </c>
      <c r="G46" s="13">
        <v>821080</v>
      </c>
      <c r="H46" s="14">
        <v>300</v>
      </c>
      <c r="I46" s="14">
        <v>50</v>
      </c>
      <c r="J46" s="14">
        <f t="shared" si="0"/>
        <v>350</v>
      </c>
      <c r="K46" s="14">
        <f t="shared" si="1"/>
        <v>420</v>
      </c>
      <c r="L46" s="13" t="s">
        <v>10</v>
      </c>
    </row>
    <row r="47" spans="1:15" x14ac:dyDescent="0.25">
      <c r="A47" s="13" t="s">
        <v>7</v>
      </c>
      <c r="B47" s="13" t="s">
        <v>240</v>
      </c>
      <c r="C47" s="13" t="s">
        <v>11</v>
      </c>
      <c r="D47" s="13" t="s">
        <v>153</v>
      </c>
      <c r="E47" s="13" t="s">
        <v>102</v>
      </c>
      <c r="F47" s="13" t="s">
        <v>280</v>
      </c>
      <c r="G47" s="13">
        <v>276374</v>
      </c>
      <c r="H47" s="14">
        <v>300</v>
      </c>
      <c r="I47" s="14">
        <v>50</v>
      </c>
      <c r="J47" s="14">
        <f t="shared" si="0"/>
        <v>350</v>
      </c>
      <c r="K47" s="14">
        <f t="shared" si="1"/>
        <v>420</v>
      </c>
      <c r="L47" s="13" t="s">
        <v>10</v>
      </c>
    </row>
    <row r="48" spans="1:15" s="1" customFormat="1" x14ac:dyDescent="0.25">
      <c r="A48" s="13" t="s">
        <v>7</v>
      </c>
      <c r="B48" s="13" t="s">
        <v>241</v>
      </c>
      <c r="C48" s="13" t="s">
        <v>11</v>
      </c>
      <c r="D48" s="13" t="s">
        <v>154</v>
      </c>
      <c r="E48" s="13" t="s">
        <v>103</v>
      </c>
      <c r="F48" s="13" t="s">
        <v>280</v>
      </c>
      <c r="G48" s="13">
        <v>330498</v>
      </c>
      <c r="H48" s="14">
        <v>300</v>
      </c>
      <c r="I48" s="14">
        <v>50</v>
      </c>
      <c r="J48" s="14">
        <f t="shared" si="0"/>
        <v>350</v>
      </c>
      <c r="K48" s="14">
        <f t="shared" si="1"/>
        <v>420</v>
      </c>
      <c r="L48" s="13" t="s">
        <v>10</v>
      </c>
      <c r="O48" s="3"/>
    </row>
    <row r="49" spans="1:15" x14ac:dyDescent="0.25">
      <c r="A49" s="13" t="s">
        <v>7</v>
      </c>
      <c r="B49" s="13" t="s">
        <v>242</v>
      </c>
      <c r="C49" s="13" t="s">
        <v>11</v>
      </c>
      <c r="D49" s="13" t="s">
        <v>155</v>
      </c>
      <c r="E49" s="13" t="s">
        <v>106</v>
      </c>
      <c r="F49" s="13" t="s">
        <v>280</v>
      </c>
      <c r="G49" s="13">
        <v>344203</v>
      </c>
      <c r="H49" s="14">
        <v>300</v>
      </c>
      <c r="I49" s="14">
        <v>50</v>
      </c>
      <c r="J49" s="14">
        <f t="shared" si="0"/>
        <v>350</v>
      </c>
      <c r="K49" s="14">
        <f t="shared" si="1"/>
        <v>420</v>
      </c>
      <c r="L49" s="13" t="s">
        <v>10</v>
      </c>
      <c r="O49" s="2"/>
    </row>
    <row r="50" spans="1:15" x14ac:dyDescent="0.25">
      <c r="A50" s="13" t="s">
        <v>7</v>
      </c>
      <c r="B50" s="13" t="s">
        <v>243</v>
      </c>
      <c r="C50" s="13" t="s">
        <v>11</v>
      </c>
      <c r="D50" s="13" t="s">
        <v>156</v>
      </c>
      <c r="E50" s="13" t="s">
        <v>107</v>
      </c>
      <c r="F50" s="13" t="s">
        <v>280</v>
      </c>
      <c r="G50" s="13">
        <v>904268</v>
      </c>
      <c r="H50" s="14">
        <v>300</v>
      </c>
      <c r="I50" s="14">
        <v>50</v>
      </c>
      <c r="J50" s="14">
        <f t="shared" si="0"/>
        <v>350</v>
      </c>
      <c r="K50" s="14">
        <f t="shared" si="1"/>
        <v>420</v>
      </c>
      <c r="L50" s="13" t="s">
        <v>10</v>
      </c>
      <c r="O50" s="2"/>
    </row>
    <row r="51" spans="1:15" x14ac:dyDescent="0.25">
      <c r="A51" s="17" t="s">
        <v>7</v>
      </c>
      <c r="B51" s="18">
        <v>86271</v>
      </c>
      <c r="C51" s="17" t="s">
        <v>66</v>
      </c>
      <c r="D51" s="17" t="s">
        <v>157</v>
      </c>
      <c r="E51" s="17" t="s">
        <v>67</v>
      </c>
      <c r="F51" s="17"/>
      <c r="G51" s="17">
        <v>344461</v>
      </c>
      <c r="H51" s="19">
        <v>250</v>
      </c>
      <c r="I51" s="19">
        <v>50</v>
      </c>
      <c r="J51" s="19">
        <f t="shared" si="0"/>
        <v>300</v>
      </c>
      <c r="K51" s="19">
        <f t="shared" si="1"/>
        <v>360</v>
      </c>
      <c r="L51" s="17" t="s">
        <v>10</v>
      </c>
    </row>
    <row r="52" spans="1:15" x14ac:dyDescent="0.25">
      <c r="A52" s="20" t="s">
        <v>7</v>
      </c>
      <c r="B52" s="20" t="s">
        <v>244</v>
      </c>
      <c r="C52" s="20" t="s">
        <v>26</v>
      </c>
      <c r="D52" s="20" t="s">
        <v>158</v>
      </c>
      <c r="E52" s="20" t="s">
        <v>27</v>
      </c>
      <c r="F52" s="20" t="s">
        <v>280</v>
      </c>
      <c r="G52" s="20">
        <v>940872</v>
      </c>
      <c r="H52" s="21">
        <v>300</v>
      </c>
      <c r="I52" s="21">
        <v>50</v>
      </c>
      <c r="J52" s="21">
        <f t="shared" si="0"/>
        <v>350</v>
      </c>
      <c r="K52" s="21">
        <f t="shared" si="1"/>
        <v>420</v>
      </c>
      <c r="L52" s="20" t="s">
        <v>10</v>
      </c>
    </row>
    <row r="53" spans="1:15" x14ac:dyDescent="0.25">
      <c r="A53" s="20" t="s">
        <v>7</v>
      </c>
      <c r="B53" s="20" t="s">
        <v>245</v>
      </c>
      <c r="C53" s="20" t="s">
        <v>16</v>
      </c>
      <c r="D53" s="20" t="s">
        <v>159</v>
      </c>
      <c r="E53" s="20" t="s">
        <v>17</v>
      </c>
      <c r="F53" s="20" t="s">
        <v>280</v>
      </c>
      <c r="G53" s="20">
        <v>874919</v>
      </c>
      <c r="H53" s="21">
        <v>300</v>
      </c>
      <c r="I53" s="21">
        <v>50</v>
      </c>
      <c r="J53" s="21">
        <f t="shared" si="0"/>
        <v>350</v>
      </c>
      <c r="K53" s="21">
        <f t="shared" si="1"/>
        <v>420</v>
      </c>
      <c r="L53" s="20" t="s">
        <v>10</v>
      </c>
    </row>
    <row r="54" spans="1:15" x14ac:dyDescent="0.25">
      <c r="A54" s="22" t="s">
        <v>7</v>
      </c>
      <c r="B54" s="22" t="s">
        <v>246</v>
      </c>
      <c r="C54" s="22" t="s">
        <v>16</v>
      </c>
      <c r="D54" s="22" t="s">
        <v>160</v>
      </c>
      <c r="E54" s="22" t="s">
        <v>47</v>
      </c>
      <c r="F54" s="22"/>
      <c r="G54" s="22">
        <v>822848</v>
      </c>
      <c r="H54" s="23">
        <v>300</v>
      </c>
      <c r="I54" s="23">
        <v>50</v>
      </c>
      <c r="J54" s="23">
        <f t="shared" si="0"/>
        <v>350</v>
      </c>
      <c r="K54" s="23">
        <f t="shared" si="1"/>
        <v>420</v>
      </c>
      <c r="L54" s="22" t="s">
        <v>10</v>
      </c>
    </row>
    <row r="55" spans="1:15" x14ac:dyDescent="0.25">
      <c r="A55" s="24" t="s">
        <v>7</v>
      </c>
      <c r="B55" s="24" t="s">
        <v>247</v>
      </c>
      <c r="C55" s="24" t="s">
        <v>18</v>
      </c>
      <c r="D55" s="24" t="s">
        <v>161</v>
      </c>
      <c r="E55" s="24" t="s">
        <v>19</v>
      </c>
      <c r="F55" s="24" t="s">
        <v>280</v>
      </c>
      <c r="G55" s="24">
        <v>462551</v>
      </c>
      <c r="H55" s="25">
        <v>300</v>
      </c>
      <c r="I55" s="25">
        <v>50</v>
      </c>
      <c r="J55" s="25">
        <f t="shared" si="0"/>
        <v>350</v>
      </c>
      <c r="K55" s="25">
        <f t="shared" si="1"/>
        <v>420</v>
      </c>
      <c r="L55" s="24" t="s">
        <v>10</v>
      </c>
    </row>
    <row r="56" spans="1:15" s="1" customFormat="1" x14ac:dyDescent="0.25">
      <c r="A56" s="24" t="s">
        <v>7</v>
      </c>
      <c r="B56" s="24" t="s">
        <v>248</v>
      </c>
      <c r="C56" s="24" t="s">
        <v>18</v>
      </c>
      <c r="D56" s="24" t="s">
        <v>162</v>
      </c>
      <c r="E56" s="24" t="s">
        <v>31</v>
      </c>
      <c r="F56" s="24" t="s">
        <v>280</v>
      </c>
      <c r="G56" s="24">
        <v>929975</v>
      </c>
      <c r="H56" s="25">
        <v>300</v>
      </c>
      <c r="I56" s="25">
        <v>50</v>
      </c>
      <c r="J56" s="25">
        <f t="shared" si="0"/>
        <v>350</v>
      </c>
      <c r="K56" s="25">
        <f t="shared" si="1"/>
        <v>420</v>
      </c>
      <c r="L56" s="24" t="s">
        <v>10</v>
      </c>
    </row>
    <row r="57" spans="1:15" x14ac:dyDescent="0.25">
      <c r="A57" s="26" t="s">
        <v>7</v>
      </c>
      <c r="B57" s="26" t="s">
        <v>249</v>
      </c>
      <c r="C57" s="26" t="s">
        <v>18</v>
      </c>
      <c r="D57" s="26" t="s">
        <v>163</v>
      </c>
      <c r="E57" s="26" t="s">
        <v>72</v>
      </c>
      <c r="F57" s="26"/>
      <c r="G57" s="26">
        <v>899167</v>
      </c>
      <c r="H57" s="27">
        <v>300</v>
      </c>
      <c r="I57" s="27">
        <v>50</v>
      </c>
      <c r="J57" s="27">
        <f t="shared" si="0"/>
        <v>350</v>
      </c>
      <c r="K57" s="27">
        <f t="shared" si="1"/>
        <v>420</v>
      </c>
      <c r="L57" s="26" t="s">
        <v>10</v>
      </c>
    </row>
    <row r="58" spans="1:15" x14ac:dyDescent="0.25">
      <c r="A58" s="26" t="s">
        <v>7</v>
      </c>
      <c r="B58" s="26" t="s">
        <v>250</v>
      </c>
      <c r="C58" s="26" t="s">
        <v>18</v>
      </c>
      <c r="D58" s="26" t="s">
        <v>164</v>
      </c>
      <c r="E58" s="26" t="s">
        <v>80</v>
      </c>
      <c r="F58" s="26"/>
      <c r="G58" s="26">
        <v>919817</v>
      </c>
      <c r="H58" s="27">
        <v>300</v>
      </c>
      <c r="I58" s="27">
        <v>50</v>
      </c>
      <c r="J58" s="27">
        <f t="shared" si="0"/>
        <v>350</v>
      </c>
      <c r="K58" s="27">
        <f t="shared" si="1"/>
        <v>420</v>
      </c>
      <c r="L58" s="26" t="s">
        <v>10</v>
      </c>
    </row>
    <row r="59" spans="1:15" x14ac:dyDescent="0.25">
      <c r="A59" s="24" t="s">
        <v>7</v>
      </c>
      <c r="B59" s="24" t="s">
        <v>251</v>
      </c>
      <c r="C59" s="24" t="s">
        <v>18</v>
      </c>
      <c r="D59" s="24" t="s">
        <v>165</v>
      </c>
      <c r="E59" s="24" t="s">
        <v>94</v>
      </c>
      <c r="F59" s="24" t="s">
        <v>280</v>
      </c>
      <c r="G59" s="24">
        <v>853612</v>
      </c>
      <c r="H59" s="25">
        <v>300</v>
      </c>
      <c r="I59" s="25">
        <v>50</v>
      </c>
      <c r="J59" s="25">
        <f t="shared" si="0"/>
        <v>350</v>
      </c>
      <c r="K59" s="25">
        <f t="shared" si="1"/>
        <v>420</v>
      </c>
      <c r="L59" s="24" t="s">
        <v>10</v>
      </c>
    </row>
    <row r="60" spans="1:15" x14ac:dyDescent="0.25">
      <c r="A60" s="26" t="s">
        <v>7</v>
      </c>
      <c r="B60" s="26" t="s">
        <v>252</v>
      </c>
      <c r="C60" s="26" t="s">
        <v>18</v>
      </c>
      <c r="D60" s="26" t="s">
        <v>166</v>
      </c>
      <c r="E60" s="26" t="s">
        <v>101</v>
      </c>
      <c r="F60" s="26"/>
      <c r="G60" s="26">
        <v>888248</v>
      </c>
      <c r="H60" s="27">
        <v>300</v>
      </c>
      <c r="I60" s="27">
        <v>50</v>
      </c>
      <c r="J60" s="27">
        <f t="shared" si="0"/>
        <v>350</v>
      </c>
      <c r="K60" s="27">
        <f t="shared" si="1"/>
        <v>420</v>
      </c>
      <c r="L60" s="26" t="s">
        <v>10</v>
      </c>
    </row>
    <row r="61" spans="1:15" x14ac:dyDescent="0.25">
      <c r="A61" s="28" t="s">
        <v>7</v>
      </c>
      <c r="B61" s="28" t="s">
        <v>253</v>
      </c>
      <c r="C61" s="28" t="s">
        <v>34</v>
      </c>
      <c r="D61" s="28" t="s">
        <v>167</v>
      </c>
      <c r="E61" s="28" t="s">
        <v>35</v>
      </c>
      <c r="F61" s="28"/>
      <c r="G61" s="28">
        <v>906569</v>
      </c>
      <c r="H61" s="29">
        <v>300</v>
      </c>
      <c r="I61" s="29">
        <v>50</v>
      </c>
      <c r="J61" s="29">
        <f t="shared" si="0"/>
        <v>350</v>
      </c>
      <c r="K61" s="29">
        <f t="shared" si="1"/>
        <v>420</v>
      </c>
      <c r="L61" s="28" t="s">
        <v>10</v>
      </c>
    </row>
    <row r="62" spans="1:15" s="1" customFormat="1" x14ac:dyDescent="0.25">
      <c r="A62" s="30" t="s">
        <v>7</v>
      </c>
      <c r="B62" s="30" t="s">
        <v>254</v>
      </c>
      <c r="C62" s="30" t="s">
        <v>34</v>
      </c>
      <c r="D62" s="30" t="s">
        <v>168</v>
      </c>
      <c r="E62" s="30" t="s">
        <v>48</v>
      </c>
      <c r="F62" s="30" t="s">
        <v>280</v>
      </c>
      <c r="G62" s="30">
        <v>921713</v>
      </c>
      <c r="H62" s="31">
        <v>300</v>
      </c>
      <c r="I62" s="31">
        <v>50</v>
      </c>
      <c r="J62" s="31">
        <f t="shared" si="0"/>
        <v>350</v>
      </c>
      <c r="K62" s="31">
        <f t="shared" si="1"/>
        <v>420</v>
      </c>
      <c r="L62" s="30" t="s">
        <v>10</v>
      </c>
    </row>
    <row r="63" spans="1:15" s="1" customFormat="1" x14ac:dyDescent="0.25">
      <c r="A63" s="30" t="s">
        <v>7</v>
      </c>
      <c r="B63" s="30" t="s">
        <v>255</v>
      </c>
      <c r="C63" s="30" t="s">
        <v>34</v>
      </c>
      <c r="D63" s="30" t="s">
        <v>169</v>
      </c>
      <c r="E63" s="30" t="s">
        <v>89</v>
      </c>
      <c r="F63" s="30" t="s">
        <v>280</v>
      </c>
      <c r="G63" s="30">
        <v>355114</v>
      </c>
      <c r="H63" s="31">
        <v>300</v>
      </c>
      <c r="I63" s="31">
        <v>50</v>
      </c>
      <c r="J63" s="31">
        <f t="shared" si="0"/>
        <v>350</v>
      </c>
      <c r="K63" s="31">
        <f t="shared" si="1"/>
        <v>420</v>
      </c>
      <c r="L63" s="30" t="s">
        <v>10</v>
      </c>
    </row>
    <row r="64" spans="1:15" s="1" customFormat="1" x14ac:dyDescent="0.25">
      <c r="A64" s="30" t="s">
        <v>7</v>
      </c>
      <c r="B64" s="30" t="s">
        <v>256</v>
      </c>
      <c r="C64" s="30" t="s">
        <v>34</v>
      </c>
      <c r="D64" s="30" t="s">
        <v>170</v>
      </c>
      <c r="E64" s="30" t="s">
        <v>92</v>
      </c>
      <c r="F64" s="30" t="s">
        <v>280</v>
      </c>
      <c r="G64" s="30">
        <v>900521</v>
      </c>
      <c r="H64" s="31">
        <v>300</v>
      </c>
      <c r="I64" s="31">
        <v>50</v>
      </c>
      <c r="J64" s="31">
        <f t="shared" si="0"/>
        <v>350</v>
      </c>
      <c r="K64" s="31">
        <f t="shared" si="1"/>
        <v>420</v>
      </c>
      <c r="L64" s="30" t="s">
        <v>10</v>
      </c>
    </row>
    <row r="65" spans="1:12" s="1" customFormat="1" x14ac:dyDescent="0.25">
      <c r="A65" s="32" t="s">
        <v>7</v>
      </c>
      <c r="B65" s="32" t="s">
        <v>257</v>
      </c>
      <c r="C65" s="32" t="s">
        <v>55</v>
      </c>
      <c r="D65" s="32" t="s">
        <v>171</v>
      </c>
      <c r="E65" s="32" t="s">
        <v>56</v>
      </c>
      <c r="F65" s="32" t="s">
        <v>280</v>
      </c>
      <c r="G65" s="32">
        <v>913778</v>
      </c>
      <c r="H65" s="33">
        <v>300</v>
      </c>
      <c r="I65" s="33">
        <v>50</v>
      </c>
      <c r="J65" s="33">
        <f t="shared" si="0"/>
        <v>350</v>
      </c>
      <c r="K65" s="33">
        <f t="shared" si="1"/>
        <v>420</v>
      </c>
      <c r="L65" s="32" t="s">
        <v>10</v>
      </c>
    </row>
    <row r="66" spans="1:12" x14ac:dyDescent="0.25">
      <c r="A66" s="32" t="s">
        <v>7</v>
      </c>
      <c r="B66" s="32" t="s">
        <v>258</v>
      </c>
      <c r="C66" s="32" t="s">
        <v>55</v>
      </c>
      <c r="D66" s="32" t="s">
        <v>172</v>
      </c>
      <c r="E66" s="32" t="s">
        <v>57</v>
      </c>
      <c r="F66" s="32" t="s">
        <v>280</v>
      </c>
      <c r="G66" s="32">
        <v>904657</v>
      </c>
      <c r="H66" s="33">
        <v>300</v>
      </c>
      <c r="I66" s="33">
        <v>50</v>
      </c>
      <c r="J66" s="33">
        <f t="shared" si="0"/>
        <v>350</v>
      </c>
      <c r="K66" s="33">
        <f t="shared" si="1"/>
        <v>420</v>
      </c>
      <c r="L66" s="32" t="s">
        <v>10</v>
      </c>
    </row>
    <row r="67" spans="1:12" ht="12.75" customHeight="1" x14ac:dyDescent="0.25">
      <c r="A67" s="34" t="s">
        <v>7</v>
      </c>
      <c r="B67" s="34" t="s">
        <v>259</v>
      </c>
      <c r="C67" s="34" t="s">
        <v>55</v>
      </c>
      <c r="D67" s="34" t="s">
        <v>173</v>
      </c>
      <c r="E67" s="34" t="s">
        <v>73</v>
      </c>
      <c r="F67" s="34"/>
      <c r="G67" s="34">
        <v>425708</v>
      </c>
      <c r="H67" s="35">
        <v>300</v>
      </c>
      <c r="I67" s="35">
        <v>50</v>
      </c>
      <c r="J67" s="35">
        <f t="shared" ref="J67:J87" si="2">H67+I67</f>
        <v>350</v>
      </c>
      <c r="K67" s="35">
        <f t="shared" ref="K67:K87" si="3">J67*1.2</f>
        <v>420</v>
      </c>
      <c r="L67" s="34" t="s">
        <v>10</v>
      </c>
    </row>
    <row r="68" spans="1:12" x14ac:dyDescent="0.25">
      <c r="A68" s="34" t="s">
        <v>7</v>
      </c>
      <c r="B68" s="34" t="s">
        <v>260</v>
      </c>
      <c r="C68" s="34" t="s">
        <v>55</v>
      </c>
      <c r="D68" s="34" t="s">
        <v>174</v>
      </c>
      <c r="E68" s="34" t="s">
        <v>76</v>
      </c>
      <c r="F68" s="34"/>
      <c r="G68" s="34">
        <v>930591</v>
      </c>
      <c r="H68" s="35">
        <v>300</v>
      </c>
      <c r="I68" s="35">
        <v>50</v>
      </c>
      <c r="J68" s="35">
        <f t="shared" si="2"/>
        <v>350</v>
      </c>
      <c r="K68" s="35">
        <f t="shared" si="3"/>
        <v>420</v>
      </c>
      <c r="L68" s="34" t="s">
        <v>10</v>
      </c>
    </row>
    <row r="69" spans="1:12" s="1" customFormat="1" x14ac:dyDescent="0.25">
      <c r="A69" s="32" t="s">
        <v>7</v>
      </c>
      <c r="B69" s="32" t="s">
        <v>261</v>
      </c>
      <c r="C69" s="32" t="s">
        <v>55</v>
      </c>
      <c r="D69" s="32" t="s">
        <v>175</v>
      </c>
      <c r="E69" s="32" t="s">
        <v>84</v>
      </c>
      <c r="F69" s="32" t="s">
        <v>280</v>
      </c>
      <c r="G69" s="32">
        <v>865682</v>
      </c>
      <c r="H69" s="33">
        <v>300</v>
      </c>
      <c r="I69" s="33">
        <v>50</v>
      </c>
      <c r="J69" s="33">
        <f t="shared" si="2"/>
        <v>350</v>
      </c>
      <c r="K69" s="33">
        <f t="shared" si="3"/>
        <v>420</v>
      </c>
      <c r="L69" s="32" t="s">
        <v>10</v>
      </c>
    </row>
    <row r="70" spans="1:12" s="1" customFormat="1" x14ac:dyDescent="0.25">
      <c r="A70" s="32" t="s">
        <v>7</v>
      </c>
      <c r="B70" s="32" t="s">
        <v>262</v>
      </c>
      <c r="C70" s="32" t="s">
        <v>55</v>
      </c>
      <c r="D70" s="32" t="s">
        <v>176</v>
      </c>
      <c r="E70" s="32" t="s">
        <v>86</v>
      </c>
      <c r="F70" s="32" t="s">
        <v>280</v>
      </c>
      <c r="G70" s="32">
        <v>156517</v>
      </c>
      <c r="H70" s="33">
        <v>300</v>
      </c>
      <c r="I70" s="33">
        <v>50</v>
      </c>
      <c r="J70" s="33">
        <f t="shared" si="2"/>
        <v>350</v>
      </c>
      <c r="K70" s="33">
        <f t="shared" si="3"/>
        <v>420</v>
      </c>
      <c r="L70" s="32" t="s">
        <v>10</v>
      </c>
    </row>
    <row r="71" spans="1:12" s="1" customFormat="1" x14ac:dyDescent="0.25">
      <c r="A71" s="32" t="s">
        <v>7</v>
      </c>
      <c r="B71" s="32" t="s">
        <v>263</v>
      </c>
      <c r="C71" s="32" t="s">
        <v>55</v>
      </c>
      <c r="D71" s="32" t="s">
        <v>177</v>
      </c>
      <c r="E71" s="32" t="s">
        <v>87</v>
      </c>
      <c r="F71" s="32" t="s">
        <v>280</v>
      </c>
      <c r="G71" s="32">
        <v>107419</v>
      </c>
      <c r="H71" s="33">
        <v>300</v>
      </c>
      <c r="I71" s="33">
        <v>50</v>
      </c>
      <c r="J71" s="33">
        <f t="shared" si="2"/>
        <v>350</v>
      </c>
      <c r="K71" s="33">
        <f t="shared" si="3"/>
        <v>420</v>
      </c>
      <c r="L71" s="32" t="s">
        <v>10</v>
      </c>
    </row>
    <row r="72" spans="1:12" s="1" customFormat="1" x14ac:dyDescent="0.25">
      <c r="A72" s="36" t="s">
        <v>7</v>
      </c>
      <c r="B72" s="36" t="s">
        <v>264</v>
      </c>
      <c r="C72" s="36" t="s">
        <v>43</v>
      </c>
      <c r="D72" s="36" t="s">
        <v>178</v>
      </c>
      <c r="E72" s="36" t="s">
        <v>44</v>
      </c>
      <c r="F72" s="36" t="s">
        <v>280</v>
      </c>
      <c r="G72" s="36">
        <v>413821</v>
      </c>
      <c r="H72" s="37">
        <v>300</v>
      </c>
      <c r="I72" s="37">
        <v>50</v>
      </c>
      <c r="J72" s="37">
        <f t="shared" si="2"/>
        <v>350</v>
      </c>
      <c r="K72" s="37">
        <f t="shared" si="3"/>
        <v>420</v>
      </c>
      <c r="L72" s="36" t="s">
        <v>10</v>
      </c>
    </row>
    <row r="73" spans="1:12" x14ac:dyDescent="0.25">
      <c r="A73" s="38" t="s">
        <v>7</v>
      </c>
      <c r="B73" s="38" t="s">
        <v>265</v>
      </c>
      <c r="C73" s="38" t="s">
        <v>43</v>
      </c>
      <c r="D73" s="38" t="s">
        <v>179</v>
      </c>
      <c r="E73" s="38" t="s">
        <v>105</v>
      </c>
      <c r="F73" s="38"/>
      <c r="G73" s="38">
        <v>948141</v>
      </c>
      <c r="H73" s="39">
        <v>300</v>
      </c>
      <c r="I73" s="39">
        <v>50</v>
      </c>
      <c r="J73" s="39">
        <f t="shared" si="2"/>
        <v>350</v>
      </c>
      <c r="K73" s="39">
        <f t="shared" si="3"/>
        <v>420</v>
      </c>
      <c r="L73" s="38" t="s">
        <v>10</v>
      </c>
    </row>
    <row r="74" spans="1:12" x14ac:dyDescent="0.25">
      <c r="A74" s="40" t="s">
        <v>7</v>
      </c>
      <c r="B74" s="40" t="s">
        <v>266</v>
      </c>
      <c r="C74" s="40" t="s">
        <v>21</v>
      </c>
      <c r="D74" s="40" t="s">
        <v>180</v>
      </c>
      <c r="E74" s="40" t="s">
        <v>22</v>
      </c>
      <c r="F74" s="40" t="s">
        <v>280</v>
      </c>
      <c r="G74" s="40">
        <v>10834</v>
      </c>
      <c r="H74" s="41">
        <v>300</v>
      </c>
      <c r="I74" s="41">
        <v>50</v>
      </c>
      <c r="J74" s="41">
        <f t="shared" si="2"/>
        <v>350</v>
      </c>
      <c r="K74" s="41">
        <f t="shared" si="3"/>
        <v>420</v>
      </c>
      <c r="L74" s="40" t="s">
        <v>10</v>
      </c>
    </row>
    <row r="75" spans="1:12" x14ac:dyDescent="0.25">
      <c r="A75" s="40" t="s">
        <v>7</v>
      </c>
      <c r="B75" s="40" t="s">
        <v>267</v>
      </c>
      <c r="C75" s="40" t="s">
        <v>21</v>
      </c>
      <c r="D75" s="40" t="s">
        <v>181</v>
      </c>
      <c r="E75" s="40" t="s">
        <v>23</v>
      </c>
      <c r="F75" s="40" t="s">
        <v>280</v>
      </c>
      <c r="G75" s="40">
        <v>943776</v>
      </c>
      <c r="H75" s="41">
        <v>300</v>
      </c>
      <c r="I75" s="41">
        <v>50</v>
      </c>
      <c r="J75" s="41">
        <f t="shared" si="2"/>
        <v>350</v>
      </c>
      <c r="K75" s="41">
        <f t="shared" si="3"/>
        <v>420</v>
      </c>
      <c r="L75" s="40" t="s">
        <v>10</v>
      </c>
    </row>
    <row r="76" spans="1:12" x14ac:dyDescent="0.25">
      <c r="A76" s="40" t="s">
        <v>7</v>
      </c>
      <c r="B76" s="40" t="s">
        <v>268</v>
      </c>
      <c r="C76" s="40" t="s">
        <v>21</v>
      </c>
      <c r="D76" s="40" t="s">
        <v>182</v>
      </c>
      <c r="E76" s="40" t="s">
        <v>25</v>
      </c>
      <c r="F76" s="40" t="s">
        <v>280</v>
      </c>
      <c r="G76" s="40">
        <v>925913</v>
      </c>
      <c r="H76" s="41">
        <v>300</v>
      </c>
      <c r="I76" s="41">
        <v>50</v>
      </c>
      <c r="J76" s="41">
        <f t="shared" si="2"/>
        <v>350</v>
      </c>
      <c r="K76" s="41">
        <f t="shared" si="3"/>
        <v>420</v>
      </c>
      <c r="L76" s="40" t="s">
        <v>10</v>
      </c>
    </row>
    <row r="77" spans="1:12" s="1" customFormat="1" x14ac:dyDescent="0.25">
      <c r="A77" s="40" t="s">
        <v>7</v>
      </c>
      <c r="B77" s="40" t="s">
        <v>269</v>
      </c>
      <c r="C77" s="40" t="s">
        <v>21</v>
      </c>
      <c r="D77" s="40" t="s">
        <v>183</v>
      </c>
      <c r="E77" s="40" t="s">
        <v>30</v>
      </c>
      <c r="F77" s="40" t="s">
        <v>280</v>
      </c>
      <c r="G77" s="40">
        <v>922955</v>
      </c>
      <c r="H77" s="41">
        <v>300</v>
      </c>
      <c r="I77" s="41">
        <v>50</v>
      </c>
      <c r="J77" s="41">
        <f t="shared" si="2"/>
        <v>350</v>
      </c>
      <c r="K77" s="41">
        <f t="shared" si="3"/>
        <v>420</v>
      </c>
      <c r="L77" s="40" t="s">
        <v>10</v>
      </c>
    </row>
    <row r="78" spans="1:12" s="1" customFormat="1" x14ac:dyDescent="0.25">
      <c r="A78" s="42" t="s">
        <v>7</v>
      </c>
      <c r="B78" s="42" t="s">
        <v>270</v>
      </c>
      <c r="C78" s="42" t="s">
        <v>62</v>
      </c>
      <c r="D78" s="42" t="s">
        <v>184</v>
      </c>
      <c r="E78" s="42" t="s">
        <v>63</v>
      </c>
      <c r="F78" s="42" t="s">
        <v>280</v>
      </c>
      <c r="G78" s="42">
        <v>566942</v>
      </c>
      <c r="H78" s="43">
        <v>300</v>
      </c>
      <c r="I78" s="43">
        <v>50</v>
      </c>
      <c r="J78" s="43">
        <f t="shared" si="2"/>
        <v>350</v>
      </c>
      <c r="K78" s="43">
        <f t="shared" si="3"/>
        <v>420</v>
      </c>
      <c r="L78" s="42" t="s">
        <v>10</v>
      </c>
    </row>
    <row r="79" spans="1:12" x14ac:dyDescent="0.25">
      <c r="A79" s="44" t="s">
        <v>7</v>
      </c>
      <c r="B79" s="44" t="s">
        <v>271</v>
      </c>
      <c r="C79" s="44" t="s">
        <v>62</v>
      </c>
      <c r="D79" s="44" t="s">
        <v>185</v>
      </c>
      <c r="E79" s="44" t="s">
        <v>69</v>
      </c>
      <c r="F79" s="44"/>
      <c r="G79" s="44">
        <v>693145</v>
      </c>
      <c r="H79" s="45">
        <v>300</v>
      </c>
      <c r="I79" s="45">
        <v>50</v>
      </c>
      <c r="J79" s="45">
        <f t="shared" si="2"/>
        <v>350</v>
      </c>
      <c r="K79" s="45">
        <f t="shared" si="3"/>
        <v>420</v>
      </c>
      <c r="L79" s="44" t="s">
        <v>10</v>
      </c>
    </row>
    <row r="80" spans="1:12" s="1" customFormat="1" ht="15.75" customHeight="1" x14ac:dyDescent="0.25">
      <c r="A80" s="42" t="s">
        <v>7</v>
      </c>
      <c r="B80" s="42" t="s">
        <v>272</v>
      </c>
      <c r="C80" s="42" t="s">
        <v>62</v>
      </c>
      <c r="D80" s="42" t="s">
        <v>186</v>
      </c>
      <c r="E80" s="42" t="s">
        <v>70</v>
      </c>
      <c r="F80" s="42" t="s">
        <v>280</v>
      </c>
      <c r="G80" s="42">
        <v>837823</v>
      </c>
      <c r="H80" s="43">
        <v>300</v>
      </c>
      <c r="I80" s="43">
        <v>50</v>
      </c>
      <c r="J80" s="43">
        <f t="shared" si="2"/>
        <v>350</v>
      </c>
      <c r="K80" s="43">
        <f t="shared" si="3"/>
        <v>420</v>
      </c>
      <c r="L80" s="42" t="s">
        <v>10</v>
      </c>
    </row>
    <row r="81" spans="1:13" s="1" customFormat="1" x14ac:dyDescent="0.25">
      <c r="A81" s="42" t="s">
        <v>7</v>
      </c>
      <c r="B81" s="42" t="s">
        <v>273</v>
      </c>
      <c r="C81" s="42" t="s">
        <v>62</v>
      </c>
      <c r="D81" s="42" t="s">
        <v>187</v>
      </c>
      <c r="E81" s="42" t="s">
        <v>74</v>
      </c>
      <c r="F81" s="42" t="s">
        <v>280</v>
      </c>
      <c r="G81" s="42">
        <v>856247</v>
      </c>
      <c r="H81" s="43">
        <v>300</v>
      </c>
      <c r="I81" s="43">
        <v>50</v>
      </c>
      <c r="J81" s="43">
        <f t="shared" si="2"/>
        <v>350</v>
      </c>
      <c r="K81" s="43">
        <f t="shared" si="3"/>
        <v>420</v>
      </c>
      <c r="L81" s="42" t="s">
        <v>10</v>
      </c>
    </row>
    <row r="82" spans="1:13" x14ac:dyDescent="0.25">
      <c r="A82" s="42" t="s">
        <v>7</v>
      </c>
      <c r="B82" s="42" t="s">
        <v>274</v>
      </c>
      <c r="C82" s="42" t="s">
        <v>62</v>
      </c>
      <c r="D82" s="42" t="s">
        <v>188</v>
      </c>
      <c r="E82" s="42" t="s">
        <v>81</v>
      </c>
      <c r="F82" s="42" t="s">
        <v>280</v>
      </c>
      <c r="G82" s="42">
        <v>521234</v>
      </c>
      <c r="H82" s="43">
        <v>300</v>
      </c>
      <c r="I82" s="46">
        <v>50</v>
      </c>
      <c r="J82" s="43">
        <f t="shared" si="2"/>
        <v>350</v>
      </c>
      <c r="K82" s="43">
        <f t="shared" si="3"/>
        <v>420</v>
      </c>
      <c r="L82" s="42" t="s">
        <v>10</v>
      </c>
      <c r="M82" s="4" t="s">
        <v>282</v>
      </c>
    </row>
    <row r="83" spans="1:13" x14ac:dyDescent="0.25">
      <c r="A83" s="44" t="s">
        <v>7</v>
      </c>
      <c r="B83" s="44" t="s">
        <v>275</v>
      </c>
      <c r="C83" s="44" t="s">
        <v>62</v>
      </c>
      <c r="D83" s="44" t="s">
        <v>189</v>
      </c>
      <c r="E83" s="44" t="s">
        <v>83</v>
      </c>
      <c r="F83" s="44"/>
      <c r="G83" s="44">
        <v>864027</v>
      </c>
      <c r="H83" s="45">
        <v>300</v>
      </c>
      <c r="I83" s="45">
        <v>50</v>
      </c>
      <c r="J83" s="45">
        <f t="shared" si="2"/>
        <v>350</v>
      </c>
      <c r="K83" s="45">
        <f t="shared" si="3"/>
        <v>420</v>
      </c>
      <c r="L83" s="44" t="s">
        <v>10</v>
      </c>
    </row>
    <row r="84" spans="1:13" x14ac:dyDescent="0.25">
      <c r="A84" s="42" t="s">
        <v>7</v>
      </c>
      <c r="B84" s="42" t="s">
        <v>276</v>
      </c>
      <c r="C84" s="42" t="s">
        <v>62</v>
      </c>
      <c r="D84" s="42" t="s">
        <v>190</v>
      </c>
      <c r="E84" s="42" t="s">
        <v>85</v>
      </c>
      <c r="F84" s="42" t="s">
        <v>280</v>
      </c>
      <c r="G84" s="42">
        <v>829845</v>
      </c>
      <c r="H84" s="43">
        <v>300</v>
      </c>
      <c r="I84" s="43">
        <v>50</v>
      </c>
      <c r="J84" s="43">
        <f t="shared" si="2"/>
        <v>350</v>
      </c>
      <c r="K84" s="43">
        <f t="shared" si="3"/>
        <v>420</v>
      </c>
      <c r="L84" s="42" t="s">
        <v>10</v>
      </c>
    </row>
    <row r="85" spans="1:13" s="1" customFormat="1" x14ac:dyDescent="0.25">
      <c r="A85" s="42" t="s">
        <v>7</v>
      </c>
      <c r="B85" s="42" t="s">
        <v>277</v>
      </c>
      <c r="C85" s="42" t="s">
        <v>62</v>
      </c>
      <c r="D85" s="42" t="s">
        <v>191</v>
      </c>
      <c r="E85" s="42" t="s">
        <v>97</v>
      </c>
      <c r="F85" s="42" t="s">
        <v>280</v>
      </c>
      <c r="G85" s="42">
        <v>710717</v>
      </c>
      <c r="H85" s="43">
        <v>300</v>
      </c>
      <c r="I85" s="43">
        <v>50</v>
      </c>
      <c r="J85" s="43">
        <f t="shared" si="2"/>
        <v>350</v>
      </c>
      <c r="K85" s="43">
        <f t="shared" si="3"/>
        <v>420</v>
      </c>
      <c r="L85" s="42" t="s">
        <v>10</v>
      </c>
    </row>
    <row r="86" spans="1:13" x14ac:dyDescent="0.25">
      <c r="A86" s="42" t="s">
        <v>7</v>
      </c>
      <c r="B86" s="42" t="s">
        <v>278</v>
      </c>
      <c r="C86" s="42" t="s">
        <v>62</v>
      </c>
      <c r="D86" s="42" t="s">
        <v>192</v>
      </c>
      <c r="E86" s="42" t="s">
        <v>99</v>
      </c>
      <c r="F86" s="42" t="s">
        <v>280</v>
      </c>
      <c r="G86" s="42">
        <v>492657</v>
      </c>
      <c r="H86" s="43">
        <v>300</v>
      </c>
      <c r="I86" s="46">
        <v>50</v>
      </c>
      <c r="J86" s="43">
        <f t="shared" si="2"/>
        <v>350</v>
      </c>
      <c r="K86" s="43">
        <f t="shared" si="3"/>
        <v>420</v>
      </c>
      <c r="L86" s="42" t="s">
        <v>10</v>
      </c>
      <c r="M86" s="4" t="s">
        <v>282</v>
      </c>
    </row>
    <row r="87" spans="1:13" x14ac:dyDescent="0.25">
      <c r="A87" s="44" t="s">
        <v>7</v>
      </c>
      <c r="B87" s="44" t="s">
        <v>279</v>
      </c>
      <c r="C87" s="44" t="s">
        <v>62</v>
      </c>
      <c r="D87" s="44" t="s">
        <v>193</v>
      </c>
      <c r="E87" s="44" t="s">
        <v>104</v>
      </c>
      <c r="F87" s="44"/>
      <c r="G87" s="44">
        <v>338106</v>
      </c>
      <c r="H87" s="45">
        <v>300</v>
      </c>
      <c r="I87" s="45">
        <v>50</v>
      </c>
      <c r="J87" s="45">
        <f t="shared" si="2"/>
        <v>350</v>
      </c>
      <c r="K87" s="45">
        <f t="shared" si="3"/>
        <v>420</v>
      </c>
      <c r="L87" s="44" t="s">
        <v>10</v>
      </c>
    </row>
    <row r="88" spans="1:13" x14ac:dyDescent="0.25">
      <c r="J88" s="2">
        <f>SUM(J1:J87)</f>
        <v>30050</v>
      </c>
      <c r="K88" s="2">
        <f>SUM(K2:K87)</f>
        <v>36060</v>
      </c>
    </row>
  </sheetData>
  <sortState xmlns:xlrd2="http://schemas.microsoft.com/office/spreadsheetml/2017/richdata2" ref="A2:M87">
    <sortCondition ref="C2:C87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Zarina Viswambaran</dc:creator>
  <cp:lastModifiedBy>Zarina Viswambaran</cp:lastModifiedBy>
  <dcterms:created xsi:type="dcterms:W3CDTF">2026-04-30T10:23:44Z</dcterms:created>
  <dcterms:modified xsi:type="dcterms:W3CDTF">2026-07-10T11:38:13Z</dcterms:modified>
</cp:coreProperties>
</file>